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adf1852a6446cb/Desktop/Programming/TE_model/Chen_2013_terminators/"/>
    </mc:Choice>
  </mc:AlternateContent>
  <xr:revisionPtr revIDLastSave="76" documentId="11_262532398C9DDBF1D3436F060376106761A6E2AF" xr6:coauthVersionLast="47" xr6:coauthVersionMax="47" xr10:uidLastSave="{31E4BC1A-DF2C-40F3-9F35-2DB7940B22F3}"/>
  <bookViews>
    <workbookView xWindow="-120" yWindow="-120" windowWidth="29040" windowHeight="15720" xr2:uid="{00000000-000D-0000-FFFF-FFFF00000000}"/>
  </bookViews>
  <sheets>
    <sheet name="Sheet1" sheetId="1" r:id="rId1"/>
    <sheet name="Strength C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72" i="2" l="1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D272" i="2" a="1"/>
  <c r="D272" i="2" s="1"/>
  <c r="E272" i="2" s="1"/>
  <c r="C272" i="2" a="1"/>
  <c r="C272" i="2" s="1"/>
  <c r="B272" i="2" a="1"/>
  <c r="B272" i="2" s="1"/>
  <c r="D271" i="2" a="1"/>
  <c r="D271" i="2" s="1"/>
  <c r="E271" i="2" s="1"/>
  <c r="C271" i="2" a="1"/>
  <c r="C271" i="2" s="1"/>
  <c r="K271" i="2" s="1"/>
  <c r="B271" i="2" a="1"/>
  <c r="B271" i="2" s="1"/>
  <c r="D270" i="2" a="1"/>
  <c r="D270" i="2" s="1"/>
  <c r="E270" i="2" s="1"/>
  <c r="C270" i="2" a="1"/>
  <c r="C270" i="2" s="1"/>
  <c r="B270" i="2" a="1"/>
  <c r="B270" i="2" s="1"/>
  <c r="D269" i="2" a="1"/>
  <c r="D269" i="2" s="1"/>
  <c r="E269" i="2" s="1"/>
  <c r="C269" i="2" a="1"/>
  <c r="C269" i="2" s="1"/>
  <c r="B269" i="2" a="1"/>
  <c r="B269" i="2" s="1"/>
  <c r="D268" i="2" a="1"/>
  <c r="D268" i="2" s="1"/>
  <c r="E268" i="2" s="1"/>
  <c r="C268" i="2" a="1"/>
  <c r="C268" i="2" s="1"/>
  <c r="B268" i="2" a="1"/>
  <c r="B268" i="2" s="1"/>
  <c r="D267" i="2" a="1"/>
  <c r="D267" i="2" s="1"/>
  <c r="E267" i="2" s="1"/>
  <c r="C267" i="2" a="1"/>
  <c r="C267" i="2" s="1"/>
  <c r="B267" i="2" a="1"/>
  <c r="B267" i="2" s="1"/>
  <c r="D266" i="2" a="1"/>
  <c r="D266" i="2" s="1"/>
  <c r="E266" i="2" s="1"/>
  <c r="C266" i="2" a="1"/>
  <c r="C266" i="2" s="1"/>
  <c r="B266" i="2" a="1"/>
  <c r="B266" i="2" s="1"/>
  <c r="D265" i="2" a="1"/>
  <c r="D265" i="2" s="1"/>
  <c r="E265" i="2" s="1"/>
  <c r="C265" i="2" a="1"/>
  <c r="C265" i="2" s="1"/>
  <c r="B265" i="2" a="1"/>
  <c r="B265" i="2" s="1"/>
  <c r="D264" i="2" a="1"/>
  <c r="D264" i="2" s="1"/>
  <c r="E264" i="2" s="1"/>
  <c r="C264" i="2" a="1"/>
  <c r="C264" i="2" s="1"/>
  <c r="B264" i="2" a="1"/>
  <c r="B264" i="2" s="1"/>
  <c r="D263" i="2" a="1"/>
  <c r="D263" i="2" s="1"/>
  <c r="E263" i="2" s="1"/>
  <c r="C263" i="2" a="1"/>
  <c r="C263" i="2" s="1"/>
  <c r="B263" i="2" a="1"/>
  <c r="B263" i="2" s="1"/>
  <c r="D262" i="2" a="1"/>
  <c r="D262" i="2" s="1"/>
  <c r="E262" i="2" s="1"/>
  <c r="C262" i="2" a="1"/>
  <c r="C262" i="2" s="1"/>
  <c r="B262" i="2" a="1"/>
  <c r="B262" i="2" s="1"/>
  <c r="D261" i="2" a="1"/>
  <c r="D261" i="2" s="1"/>
  <c r="E261" i="2" s="1"/>
  <c r="C261" i="2" a="1"/>
  <c r="C261" i="2" s="1"/>
  <c r="B261" i="2" a="1"/>
  <c r="B261" i="2" s="1"/>
  <c r="D260" i="2" a="1"/>
  <c r="D260" i="2" s="1"/>
  <c r="E260" i="2" s="1"/>
  <c r="C260" i="2" a="1"/>
  <c r="C260" i="2" s="1"/>
  <c r="B260" i="2" a="1"/>
  <c r="B260" i="2" s="1"/>
  <c r="D259" i="2" a="1"/>
  <c r="D259" i="2" s="1"/>
  <c r="E259" i="2" s="1"/>
  <c r="C259" i="2" a="1"/>
  <c r="C259" i="2" s="1"/>
  <c r="B259" i="2" a="1"/>
  <c r="B259" i="2" s="1"/>
  <c r="D258" i="2" a="1"/>
  <c r="D258" i="2" s="1"/>
  <c r="E258" i="2" s="1"/>
  <c r="C258" i="2" a="1"/>
  <c r="C258" i="2" s="1"/>
  <c r="B258" i="2" a="1"/>
  <c r="B258" i="2" s="1"/>
  <c r="D257" i="2" a="1"/>
  <c r="D257" i="2" s="1"/>
  <c r="E257" i="2" s="1"/>
  <c r="C257" i="2" a="1"/>
  <c r="C257" i="2" s="1"/>
  <c r="K257" i="2" s="1"/>
  <c r="B257" i="2" a="1"/>
  <c r="B257" i="2" s="1"/>
  <c r="D256" i="2" a="1"/>
  <c r="D256" i="2" s="1"/>
  <c r="E256" i="2" s="1"/>
  <c r="C256" i="2" a="1"/>
  <c r="C256" i="2" s="1"/>
  <c r="B256" i="2" a="1"/>
  <c r="B256" i="2" s="1"/>
  <c r="D255" i="2" a="1"/>
  <c r="D255" i="2" s="1"/>
  <c r="E255" i="2" s="1"/>
  <c r="C255" i="2" a="1"/>
  <c r="C255" i="2" s="1"/>
  <c r="B255" i="2" a="1"/>
  <c r="B255" i="2" s="1"/>
  <c r="D254" i="2" a="1"/>
  <c r="D254" i="2" s="1"/>
  <c r="E254" i="2" s="1"/>
  <c r="C254" i="2" a="1"/>
  <c r="C254" i="2" s="1"/>
  <c r="B254" i="2" a="1"/>
  <c r="B254" i="2" s="1"/>
  <c r="D253" i="2" a="1"/>
  <c r="D253" i="2" s="1"/>
  <c r="E253" i="2" s="1"/>
  <c r="C253" i="2" a="1"/>
  <c r="C253" i="2" s="1"/>
  <c r="B253" i="2" a="1"/>
  <c r="B253" i="2" s="1"/>
  <c r="D252" i="2" a="1"/>
  <c r="D252" i="2" s="1"/>
  <c r="E252" i="2" s="1"/>
  <c r="C252" i="2" a="1"/>
  <c r="C252" i="2" s="1"/>
  <c r="B252" i="2" a="1"/>
  <c r="B252" i="2" s="1"/>
  <c r="D251" i="2" a="1"/>
  <c r="D251" i="2" s="1"/>
  <c r="E251" i="2" s="1"/>
  <c r="C251" i="2" a="1"/>
  <c r="C251" i="2" s="1"/>
  <c r="B251" i="2" a="1"/>
  <c r="B251" i="2" s="1"/>
  <c r="D250" i="2" a="1"/>
  <c r="D250" i="2" s="1"/>
  <c r="E250" i="2" s="1"/>
  <c r="G250" i="2" s="1"/>
  <c r="L250" i="2" s="1"/>
  <c r="C250" i="2" a="1"/>
  <c r="C250" i="2" s="1"/>
  <c r="K250" i="2" s="1"/>
  <c r="B250" i="2" a="1"/>
  <c r="B250" i="2" s="1"/>
  <c r="D249" i="2" a="1"/>
  <c r="D249" i="2" s="1"/>
  <c r="E249" i="2" s="1"/>
  <c r="C249" i="2" a="1"/>
  <c r="C249" i="2" s="1"/>
  <c r="B249" i="2" a="1"/>
  <c r="B249" i="2" s="1"/>
  <c r="D248" i="2" a="1"/>
  <c r="D248" i="2" s="1"/>
  <c r="E248" i="2" s="1"/>
  <c r="C248" i="2" a="1"/>
  <c r="C248" i="2" s="1"/>
  <c r="B248" i="2" a="1"/>
  <c r="B248" i="2" s="1"/>
  <c r="D247" i="2" a="1"/>
  <c r="D247" i="2" s="1"/>
  <c r="E247" i="2" s="1"/>
  <c r="C247" i="2" a="1"/>
  <c r="C247" i="2" s="1"/>
  <c r="B247" i="2" a="1"/>
  <c r="B247" i="2" s="1"/>
  <c r="D246" i="2" a="1"/>
  <c r="D246" i="2" s="1"/>
  <c r="E246" i="2" s="1"/>
  <c r="C246" i="2" a="1"/>
  <c r="C246" i="2" s="1"/>
  <c r="B246" i="2" a="1"/>
  <c r="B246" i="2" s="1"/>
  <c r="D245" i="2" a="1"/>
  <c r="D245" i="2" s="1"/>
  <c r="E245" i="2" s="1"/>
  <c r="C245" i="2" a="1"/>
  <c r="C245" i="2" s="1"/>
  <c r="B245" i="2" a="1"/>
  <c r="B245" i="2" s="1"/>
  <c r="D244" i="2" a="1"/>
  <c r="D244" i="2" s="1"/>
  <c r="E244" i="2" s="1"/>
  <c r="C244" i="2" a="1"/>
  <c r="C244" i="2" s="1"/>
  <c r="B244" i="2" a="1"/>
  <c r="B244" i="2" s="1"/>
  <c r="D243" i="2" a="1"/>
  <c r="D243" i="2" s="1"/>
  <c r="E243" i="2" s="1"/>
  <c r="C243" i="2" a="1"/>
  <c r="C243" i="2" s="1"/>
  <c r="B243" i="2" a="1"/>
  <c r="B243" i="2" s="1"/>
  <c r="D242" i="2" a="1"/>
  <c r="D242" i="2" s="1"/>
  <c r="E242" i="2" s="1"/>
  <c r="C242" i="2" a="1"/>
  <c r="C242" i="2" s="1"/>
  <c r="K242" i="2" s="1"/>
  <c r="B242" i="2" a="1"/>
  <c r="B242" i="2" s="1"/>
  <c r="D241" i="2" a="1"/>
  <c r="D241" i="2" s="1"/>
  <c r="E241" i="2" s="1"/>
  <c r="C241" i="2" a="1"/>
  <c r="C241" i="2" s="1"/>
  <c r="B241" i="2" a="1"/>
  <c r="B241" i="2" s="1"/>
  <c r="D240" i="2"/>
  <c r="E240" i="2" s="1"/>
  <c r="D240" i="2" a="1"/>
  <c r="C240" i="2" a="1"/>
  <c r="C240" i="2" s="1"/>
  <c r="B240" i="2" a="1"/>
  <c r="B240" i="2" s="1"/>
  <c r="D239" i="2" a="1"/>
  <c r="D239" i="2" s="1"/>
  <c r="E239" i="2" s="1"/>
  <c r="C239" i="2" a="1"/>
  <c r="C239" i="2" s="1"/>
  <c r="K239" i="2" s="1"/>
  <c r="B239" i="2" a="1"/>
  <c r="B239" i="2" s="1"/>
  <c r="D238" i="2" a="1"/>
  <c r="D238" i="2" s="1"/>
  <c r="E238" i="2" s="1"/>
  <c r="C238" i="2" a="1"/>
  <c r="C238" i="2" s="1"/>
  <c r="B238" i="2" a="1"/>
  <c r="B238" i="2" s="1"/>
  <c r="D237" i="2" a="1"/>
  <c r="D237" i="2" s="1"/>
  <c r="E237" i="2" s="1"/>
  <c r="C237" i="2" a="1"/>
  <c r="C237" i="2" s="1"/>
  <c r="K237" i="2" s="1"/>
  <c r="B237" i="2" a="1"/>
  <c r="B237" i="2" s="1"/>
  <c r="D236" i="2" a="1"/>
  <c r="D236" i="2" s="1"/>
  <c r="E236" i="2" s="1"/>
  <c r="C236" i="2" a="1"/>
  <c r="C236" i="2" s="1"/>
  <c r="B236" i="2" a="1"/>
  <c r="B236" i="2" s="1"/>
  <c r="D235" i="2" a="1"/>
  <c r="D235" i="2" s="1"/>
  <c r="E235" i="2" s="1"/>
  <c r="C235" i="2" a="1"/>
  <c r="C235" i="2" s="1"/>
  <c r="B235" i="2" a="1"/>
  <c r="B235" i="2" s="1"/>
  <c r="D234" i="2" a="1"/>
  <c r="D234" i="2" s="1"/>
  <c r="E234" i="2" s="1"/>
  <c r="C234" i="2" a="1"/>
  <c r="C234" i="2" s="1"/>
  <c r="B234" i="2" a="1"/>
  <c r="B234" i="2" s="1"/>
  <c r="D233" i="2" a="1"/>
  <c r="D233" i="2" s="1"/>
  <c r="E233" i="2" s="1"/>
  <c r="C233" i="2" a="1"/>
  <c r="C233" i="2" s="1"/>
  <c r="B233" i="2" a="1"/>
  <c r="B233" i="2" s="1"/>
  <c r="D232" i="2" a="1"/>
  <c r="D232" i="2" s="1"/>
  <c r="E232" i="2" s="1"/>
  <c r="C232" i="2" a="1"/>
  <c r="C232" i="2" s="1"/>
  <c r="B232" i="2" a="1"/>
  <c r="B232" i="2" s="1"/>
  <c r="D231" i="2" a="1"/>
  <c r="D231" i="2" s="1"/>
  <c r="E231" i="2" s="1"/>
  <c r="F231" i="2" s="1"/>
  <c r="C231" i="2" a="1"/>
  <c r="C231" i="2" s="1"/>
  <c r="B231" i="2" a="1"/>
  <c r="B231" i="2" s="1"/>
  <c r="D230" i="2" a="1"/>
  <c r="D230" i="2" s="1"/>
  <c r="E230" i="2" s="1"/>
  <c r="C230" i="2" a="1"/>
  <c r="C230" i="2" s="1"/>
  <c r="B230" i="2" a="1"/>
  <c r="B230" i="2" s="1"/>
  <c r="D229" i="2" a="1"/>
  <c r="D229" i="2" s="1"/>
  <c r="E229" i="2" s="1"/>
  <c r="C229" i="2" a="1"/>
  <c r="C229" i="2" s="1"/>
  <c r="B229" i="2" a="1"/>
  <c r="B229" i="2" s="1"/>
  <c r="D228" i="2" a="1"/>
  <c r="D228" i="2" s="1"/>
  <c r="E228" i="2" s="1"/>
  <c r="C228" i="2" a="1"/>
  <c r="C228" i="2" s="1"/>
  <c r="B228" i="2" a="1"/>
  <c r="B228" i="2" s="1"/>
  <c r="D227" i="2" a="1"/>
  <c r="D227" i="2" s="1"/>
  <c r="E227" i="2" s="1"/>
  <c r="C227" i="2" a="1"/>
  <c r="C227" i="2" s="1"/>
  <c r="B227" i="2" a="1"/>
  <c r="B227" i="2" s="1"/>
  <c r="D226" i="2" a="1"/>
  <c r="D226" i="2" s="1"/>
  <c r="E226" i="2" s="1"/>
  <c r="F226" i="2" s="1"/>
  <c r="C226" i="2" a="1"/>
  <c r="C226" i="2" s="1"/>
  <c r="B226" i="2" a="1"/>
  <c r="B226" i="2" s="1"/>
  <c r="E225" i="2"/>
  <c r="D225" i="2" a="1"/>
  <c r="D225" i="2" s="1"/>
  <c r="C225" i="2" a="1"/>
  <c r="C225" i="2" s="1"/>
  <c r="B225" i="2" a="1"/>
  <c r="B225" i="2" s="1"/>
  <c r="D224" i="2" a="1"/>
  <c r="D224" i="2" s="1"/>
  <c r="E224" i="2" s="1"/>
  <c r="C224" i="2" a="1"/>
  <c r="C224" i="2" s="1"/>
  <c r="B224" i="2" a="1"/>
  <c r="B224" i="2" s="1"/>
  <c r="D223" i="2" a="1"/>
  <c r="D223" i="2" s="1"/>
  <c r="E223" i="2" s="1"/>
  <c r="C223" i="2" a="1"/>
  <c r="C223" i="2" s="1"/>
  <c r="B223" i="2" a="1"/>
  <c r="B223" i="2" s="1"/>
  <c r="D222" i="2" a="1"/>
  <c r="D222" i="2" s="1"/>
  <c r="E222" i="2" s="1"/>
  <c r="C222" i="2" a="1"/>
  <c r="C222" i="2" s="1"/>
  <c r="B222" i="2" a="1"/>
  <c r="B222" i="2" s="1"/>
  <c r="D221" i="2" a="1"/>
  <c r="D221" i="2" s="1"/>
  <c r="E221" i="2" s="1"/>
  <c r="F221" i="2" s="1"/>
  <c r="C221" i="2"/>
  <c r="C221" i="2" a="1"/>
  <c r="B221" i="2" a="1"/>
  <c r="B221" i="2" s="1"/>
  <c r="D220" i="2" a="1"/>
  <c r="D220" i="2" s="1"/>
  <c r="E220" i="2" s="1"/>
  <c r="C220" i="2" a="1"/>
  <c r="C220" i="2" s="1"/>
  <c r="B220" i="2" a="1"/>
  <c r="B220" i="2" s="1"/>
  <c r="D219" i="2" a="1"/>
  <c r="D219" i="2" s="1"/>
  <c r="E219" i="2" s="1"/>
  <c r="C219" i="2" a="1"/>
  <c r="C219" i="2" s="1"/>
  <c r="B219" i="2" a="1"/>
  <c r="B219" i="2" s="1"/>
  <c r="D218" i="2" a="1"/>
  <c r="D218" i="2" s="1"/>
  <c r="E218" i="2" s="1"/>
  <c r="C218" i="2" a="1"/>
  <c r="C218" i="2" s="1"/>
  <c r="B218" i="2" a="1"/>
  <c r="B218" i="2" s="1"/>
  <c r="D217" i="2" a="1"/>
  <c r="D217" i="2" s="1"/>
  <c r="E217" i="2" s="1"/>
  <c r="C217" i="2" a="1"/>
  <c r="C217" i="2" s="1"/>
  <c r="B217" i="2" a="1"/>
  <c r="B217" i="2" s="1"/>
  <c r="D216" i="2" a="1"/>
  <c r="D216" i="2" s="1"/>
  <c r="E216" i="2" s="1"/>
  <c r="C216" i="2" a="1"/>
  <c r="C216" i="2" s="1"/>
  <c r="B216" i="2" a="1"/>
  <c r="B216" i="2" s="1"/>
  <c r="D215" i="2" a="1"/>
  <c r="D215" i="2" s="1"/>
  <c r="E215" i="2" s="1"/>
  <c r="C215" i="2" a="1"/>
  <c r="C215" i="2" s="1"/>
  <c r="B215" i="2" a="1"/>
  <c r="B215" i="2" s="1"/>
  <c r="D214" i="2" a="1"/>
  <c r="D214" i="2" s="1"/>
  <c r="E214" i="2" s="1"/>
  <c r="C214" i="2" a="1"/>
  <c r="C214" i="2" s="1"/>
  <c r="B214" i="2" a="1"/>
  <c r="B214" i="2" s="1"/>
  <c r="D213" i="2" a="1"/>
  <c r="D213" i="2" s="1"/>
  <c r="E213" i="2" s="1"/>
  <c r="C213" i="2" a="1"/>
  <c r="C213" i="2" s="1"/>
  <c r="B213" i="2" a="1"/>
  <c r="B213" i="2" s="1"/>
  <c r="D212" i="2" a="1"/>
  <c r="D212" i="2" s="1"/>
  <c r="E212" i="2" s="1"/>
  <c r="C212" i="2" a="1"/>
  <c r="C212" i="2" s="1"/>
  <c r="B212" i="2" a="1"/>
  <c r="B212" i="2" s="1"/>
  <c r="D211" i="2" a="1"/>
  <c r="D211" i="2" s="1"/>
  <c r="E211" i="2" s="1"/>
  <c r="C211" i="2" a="1"/>
  <c r="C211" i="2" s="1"/>
  <c r="B211" i="2" a="1"/>
  <c r="B211" i="2" s="1"/>
  <c r="D210" i="2" a="1"/>
  <c r="D210" i="2" s="1"/>
  <c r="E210" i="2" s="1"/>
  <c r="C210" i="2" a="1"/>
  <c r="C210" i="2" s="1"/>
  <c r="B210" i="2" a="1"/>
  <c r="B210" i="2" s="1"/>
  <c r="D209" i="2" a="1"/>
  <c r="D209" i="2" s="1"/>
  <c r="E209" i="2" s="1"/>
  <c r="C209" i="2" a="1"/>
  <c r="C209" i="2" s="1"/>
  <c r="B209" i="2" a="1"/>
  <c r="B209" i="2" s="1"/>
  <c r="D208" i="2" a="1"/>
  <c r="D208" i="2" s="1"/>
  <c r="E208" i="2" s="1"/>
  <c r="C208" i="2" a="1"/>
  <c r="C208" i="2" s="1"/>
  <c r="B208" i="2" a="1"/>
  <c r="B208" i="2" s="1"/>
  <c r="D207" i="2" a="1"/>
  <c r="D207" i="2" s="1"/>
  <c r="E207" i="2" s="1"/>
  <c r="C207" i="2" a="1"/>
  <c r="C207" i="2" s="1"/>
  <c r="B207" i="2" a="1"/>
  <c r="B207" i="2" s="1"/>
  <c r="D206" i="2" a="1"/>
  <c r="D206" i="2" s="1"/>
  <c r="E206" i="2" s="1"/>
  <c r="C206" i="2" a="1"/>
  <c r="C206" i="2" s="1"/>
  <c r="B206" i="2" a="1"/>
  <c r="B206" i="2" s="1"/>
  <c r="D205" i="2" a="1"/>
  <c r="D205" i="2" s="1"/>
  <c r="E205" i="2" s="1"/>
  <c r="C205" i="2" a="1"/>
  <c r="C205" i="2" s="1"/>
  <c r="B205" i="2" a="1"/>
  <c r="B205" i="2" s="1"/>
  <c r="D204" i="2" a="1"/>
  <c r="D204" i="2" s="1"/>
  <c r="E204" i="2" s="1"/>
  <c r="C204" i="2" a="1"/>
  <c r="C204" i="2" s="1"/>
  <c r="B204" i="2" a="1"/>
  <c r="B204" i="2" s="1"/>
  <c r="D203" i="2" a="1"/>
  <c r="D203" i="2" s="1"/>
  <c r="E203" i="2" s="1"/>
  <c r="C203" i="2" a="1"/>
  <c r="C203" i="2" s="1"/>
  <c r="B203" i="2" a="1"/>
  <c r="B203" i="2" s="1"/>
  <c r="D202" i="2" a="1"/>
  <c r="D202" i="2" s="1"/>
  <c r="E202" i="2" s="1"/>
  <c r="C202" i="2" a="1"/>
  <c r="C202" i="2" s="1"/>
  <c r="B202" i="2" a="1"/>
  <c r="B202" i="2" s="1"/>
  <c r="D201" i="2" a="1"/>
  <c r="D201" i="2" s="1"/>
  <c r="E201" i="2" s="1"/>
  <c r="G201" i="2" s="1"/>
  <c r="L201" i="2" s="1"/>
  <c r="C201" i="2" a="1"/>
  <c r="C201" i="2" s="1"/>
  <c r="B201" i="2" a="1"/>
  <c r="B201" i="2" s="1"/>
  <c r="D200" i="2" a="1"/>
  <c r="D200" i="2" s="1"/>
  <c r="E200" i="2" s="1"/>
  <c r="C200" i="2" a="1"/>
  <c r="C200" i="2" s="1"/>
  <c r="B200" i="2" a="1"/>
  <c r="B200" i="2" s="1"/>
  <c r="D199" i="2" a="1"/>
  <c r="D199" i="2" s="1"/>
  <c r="E199" i="2" s="1"/>
  <c r="C199" i="2" a="1"/>
  <c r="C199" i="2" s="1"/>
  <c r="B199" i="2" a="1"/>
  <c r="B199" i="2" s="1"/>
  <c r="D198" i="2" a="1"/>
  <c r="D198" i="2" s="1"/>
  <c r="E198" i="2" s="1"/>
  <c r="C198" i="2" a="1"/>
  <c r="C198" i="2" s="1"/>
  <c r="B198" i="2" a="1"/>
  <c r="B198" i="2" s="1"/>
  <c r="D197" i="2" a="1"/>
  <c r="D197" i="2" s="1"/>
  <c r="E197" i="2" s="1"/>
  <c r="C197" i="2" a="1"/>
  <c r="C197" i="2" s="1"/>
  <c r="B197" i="2" a="1"/>
  <c r="B197" i="2" s="1"/>
  <c r="D196" i="2" a="1"/>
  <c r="D196" i="2" s="1"/>
  <c r="E196" i="2" s="1"/>
  <c r="C196" i="2" a="1"/>
  <c r="C196" i="2" s="1"/>
  <c r="B196" i="2" a="1"/>
  <c r="B196" i="2" s="1"/>
  <c r="D195" i="2" a="1"/>
  <c r="D195" i="2" s="1"/>
  <c r="E195" i="2" s="1"/>
  <c r="C195" i="2" a="1"/>
  <c r="C195" i="2" s="1"/>
  <c r="B195" i="2" a="1"/>
  <c r="B195" i="2" s="1"/>
  <c r="D194" i="2" a="1"/>
  <c r="D194" i="2" s="1"/>
  <c r="E194" i="2" s="1"/>
  <c r="C194" i="2" a="1"/>
  <c r="C194" i="2" s="1"/>
  <c r="B194" i="2" a="1"/>
  <c r="B194" i="2" s="1"/>
  <c r="D193" i="2" a="1"/>
  <c r="D193" i="2" s="1"/>
  <c r="E193" i="2" s="1"/>
  <c r="C193" i="2" a="1"/>
  <c r="C193" i="2" s="1"/>
  <c r="B193" i="2" a="1"/>
  <c r="B193" i="2" s="1"/>
  <c r="D192" i="2" a="1"/>
  <c r="D192" i="2" s="1"/>
  <c r="E192" i="2" s="1"/>
  <c r="C192" i="2" a="1"/>
  <c r="C192" i="2" s="1"/>
  <c r="B192" i="2" a="1"/>
  <c r="B192" i="2" s="1"/>
  <c r="E191" i="2"/>
  <c r="D191" i="2" a="1"/>
  <c r="D191" i="2" s="1"/>
  <c r="C191" i="2" a="1"/>
  <c r="C191" i="2" s="1"/>
  <c r="B191" i="2" a="1"/>
  <c r="B191" i="2" s="1"/>
  <c r="D190" i="2" a="1"/>
  <c r="D190" i="2" s="1"/>
  <c r="E190" i="2" s="1"/>
  <c r="C190" i="2" a="1"/>
  <c r="C190" i="2" s="1"/>
  <c r="B190" i="2" a="1"/>
  <c r="B190" i="2" s="1"/>
  <c r="D189" i="2" a="1"/>
  <c r="D189" i="2" s="1"/>
  <c r="E189" i="2" s="1"/>
  <c r="C189" i="2" a="1"/>
  <c r="C189" i="2" s="1"/>
  <c r="B189" i="2" a="1"/>
  <c r="B189" i="2" s="1"/>
  <c r="D188" i="2" a="1"/>
  <c r="D188" i="2" s="1"/>
  <c r="E188" i="2" s="1"/>
  <c r="C188" i="2" a="1"/>
  <c r="C188" i="2" s="1"/>
  <c r="B188" i="2" a="1"/>
  <c r="B188" i="2" s="1"/>
  <c r="D187" i="2" a="1"/>
  <c r="D187" i="2" s="1"/>
  <c r="E187" i="2" s="1"/>
  <c r="G187" i="2" s="1"/>
  <c r="L187" i="2" s="1"/>
  <c r="C187" i="2" a="1"/>
  <c r="C187" i="2" s="1"/>
  <c r="B187" i="2" a="1"/>
  <c r="B187" i="2" s="1"/>
  <c r="D186" i="2" a="1"/>
  <c r="D186" i="2" s="1"/>
  <c r="E186" i="2" s="1"/>
  <c r="C186" i="2" a="1"/>
  <c r="C186" i="2" s="1"/>
  <c r="B186" i="2" a="1"/>
  <c r="B186" i="2" s="1"/>
  <c r="D185" i="2" a="1"/>
  <c r="D185" i="2" s="1"/>
  <c r="E185" i="2" s="1"/>
  <c r="C185" i="2" a="1"/>
  <c r="C185" i="2" s="1"/>
  <c r="B185" i="2" a="1"/>
  <c r="B185" i="2" s="1"/>
  <c r="D184" i="2" a="1"/>
  <c r="D184" i="2" s="1"/>
  <c r="E184" i="2" s="1"/>
  <c r="C184" i="2" a="1"/>
  <c r="C184" i="2" s="1"/>
  <c r="B184" i="2" a="1"/>
  <c r="B184" i="2" s="1"/>
  <c r="D183" i="2" a="1"/>
  <c r="D183" i="2" s="1"/>
  <c r="E183" i="2" s="1"/>
  <c r="C183" i="2" a="1"/>
  <c r="C183" i="2" s="1"/>
  <c r="B183" i="2" a="1"/>
  <c r="B183" i="2" s="1"/>
  <c r="D182" i="2" a="1"/>
  <c r="D182" i="2" s="1"/>
  <c r="E182" i="2" s="1"/>
  <c r="C182" i="2" a="1"/>
  <c r="C182" i="2" s="1"/>
  <c r="B182" i="2" a="1"/>
  <c r="B182" i="2" s="1"/>
  <c r="D181" i="2" a="1"/>
  <c r="D181" i="2" s="1"/>
  <c r="E181" i="2" s="1"/>
  <c r="C181" i="2" a="1"/>
  <c r="C181" i="2" s="1"/>
  <c r="B181" i="2" a="1"/>
  <c r="B181" i="2" s="1"/>
  <c r="D180" i="2" a="1"/>
  <c r="D180" i="2" s="1"/>
  <c r="E180" i="2" s="1"/>
  <c r="C180" i="2" a="1"/>
  <c r="C180" i="2" s="1"/>
  <c r="B180" i="2" a="1"/>
  <c r="B180" i="2" s="1"/>
  <c r="D179" i="2" a="1"/>
  <c r="D179" i="2" s="1"/>
  <c r="E179" i="2" s="1"/>
  <c r="C179" i="2" a="1"/>
  <c r="C179" i="2" s="1"/>
  <c r="B179" i="2" a="1"/>
  <c r="B179" i="2" s="1"/>
  <c r="D178" i="2" a="1"/>
  <c r="D178" i="2" s="1"/>
  <c r="E178" i="2" s="1"/>
  <c r="C178" i="2" a="1"/>
  <c r="C178" i="2" s="1"/>
  <c r="B178" i="2" a="1"/>
  <c r="B178" i="2" s="1"/>
  <c r="D177" i="2" a="1"/>
  <c r="D177" i="2" s="1"/>
  <c r="E177" i="2" s="1"/>
  <c r="C177" i="2" a="1"/>
  <c r="C177" i="2" s="1"/>
  <c r="B177" i="2" a="1"/>
  <c r="B177" i="2" s="1"/>
  <c r="D176" i="2" a="1"/>
  <c r="D176" i="2" s="1"/>
  <c r="E176" i="2" s="1"/>
  <c r="C176" i="2" a="1"/>
  <c r="C176" i="2" s="1"/>
  <c r="B176" i="2" a="1"/>
  <c r="B176" i="2" s="1"/>
  <c r="D175" i="2" a="1"/>
  <c r="D175" i="2" s="1"/>
  <c r="E175" i="2" s="1"/>
  <c r="C175" i="2" a="1"/>
  <c r="C175" i="2" s="1"/>
  <c r="B175" i="2" a="1"/>
  <c r="B175" i="2" s="1"/>
  <c r="D174" i="2" a="1"/>
  <c r="D174" i="2" s="1"/>
  <c r="E174" i="2" s="1"/>
  <c r="C174" i="2" a="1"/>
  <c r="C174" i="2" s="1"/>
  <c r="B174" i="2" a="1"/>
  <c r="B174" i="2" s="1"/>
  <c r="D173" i="2" a="1"/>
  <c r="D173" i="2" s="1"/>
  <c r="E173" i="2" s="1"/>
  <c r="C173" i="2" a="1"/>
  <c r="C173" i="2" s="1"/>
  <c r="B173" i="2" a="1"/>
  <c r="B173" i="2" s="1"/>
  <c r="D172" i="2" a="1"/>
  <c r="D172" i="2" s="1"/>
  <c r="E172" i="2" s="1"/>
  <c r="C172" i="2" a="1"/>
  <c r="C172" i="2" s="1"/>
  <c r="B172" i="2" a="1"/>
  <c r="B172" i="2" s="1"/>
  <c r="D171" i="2" a="1"/>
  <c r="D171" i="2" s="1"/>
  <c r="E171" i="2" s="1"/>
  <c r="C171" i="2" a="1"/>
  <c r="C171" i="2" s="1"/>
  <c r="B171" i="2" a="1"/>
  <c r="B171" i="2" s="1"/>
  <c r="D170" i="2" a="1"/>
  <c r="D170" i="2" s="1"/>
  <c r="E170" i="2" s="1"/>
  <c r="C170" i="2" a="1"/>
  <c r="C170" i="2" s="1"/>
  <c r="B170" i="2" a="1"/>
  <c r="B170" i="2" s="1"/>
  <c r="D169" i="2" a="1"/>
  <c r="D169" i="2" s="1"/>
  <c r="E169" i="2" s="1"/>
  <c r="C169" i="2" a="1"/>
  <c r="C169" i="2" s="1"/>
  <c r="B169" i="2" a="1"/>
  <c r="B169" i="2" s="1"/>
  <c r="D168" i="2" a="1"/>
  <c r="D168" i="2" s="1"/>
  <c r="E168" i="2" s="1"/>
  <c r="C168" i="2" a="1"/>
  <c r="C168" i="2" s="1"/>
  <c r="B168" i="2" a="1"/>
  <c r="B168" i="2" s="1"/>
  <c r="D167" i="2" a="1"/>
  <c r="D167" i="2" s="1"/>
  <c r="E167" i="2" s="1"/>
  <c r="C167" i="2" a="1"/>
  <c r="C167" i="2" s="1"/>
  <c r="B167" i="2" a="1"/>
  <c r="B167" i="2" s="1"/>
  <c r="D166" i="2" a="1"/>
  <c r="D166" i="2" s="1"/>
  <c r="E166" i="2" s="1"/>
  <c r="C166" i="2" a="1"/>
  <c r="C166" i="2" s="1"/>
  <c r="B166" i="2" a="1"/>
  <c r="B166" i="2" s="1"/>
  <c r="D165" i="2" a="1"/>
  <c r="D165" i="2" s="1"/>
  <c r="E165" i="2" s="1"/>
  <c r="C165" i="2" a="1"/>
  <c r="C165" i="2" s="1"/>
  <c r="B165" i="2" a="1"/>
  <c r="B165" i="2" s="1"/>
  <c r="D164" i="2" a="1"/>
  <c r="D164" i="2" s="1"/>
  <c r="E164" i="2" s="1"/>
  <c r="C164" i="2" a="1"/>
  <c r="C164" i="2" s="1"/>
  <c r="B164" i="2" a="1"/>
  <c r="B164" i="2" s="1"/>
  <c r="D163" i="2" a="1"/>
  <c r="D163" i="2" s="1"/>
  <c r="E163" i="2" s="1"/>
  <c r="C163" i="2" a="1"/>
  <c r="C163" i="2" s="1"/>
  <c r="B163" i="2" a="1"/>
  <c r="B163" i="2" s="1"/>
  <c r="D162" i="2" a="1"/>
  <c r="D162" i="2" s="1"/>
  <c r="E162" i="2" s="1"/>
  <c r="C162" i="2" a="1"/>
  <c r="C162" i="2" s="1"/>
  <c r="B162" i="2" a="1"/>
  <c r="B162" i="2" s="1"/>
  <c r="D161" i="2" a="1"/>
  <c r="D161" i="2" s="1"/>
  <c r="E161" i="2" s="1"/>
  <c r="C161" i="2" a="1"/>
  <c r="C161" i="2" s="1"/>
  <c r="B161" i="2" a="1"/>
  <c r="B161" i="2" s="1"/>
  <c r="D160" i="2" a="1"/>
  <c r="D160" i="2" s="1"/>
  <c r="E160" i="2" s="1"/>
  <c r="C160" i="2" a="1"/>
  <c r="C160" i="2" s="1"/>
  <c r="B160" i="2" a="1"/>
  <c r="B160" i="2" s="1"/>
  <c r="D159" i="2" a="1"/>
  <c r="D159" i="2" s="1"/>
  <c r="E159" i="2" s="1"/>
  <c r="C159" i="2" a="1"/>
  <c r="C159" i="2" s="1"/>
  <c r="B159" i="2" a="1"/>
  <c r="B159" i="2" s="1"/>
  <c r="D158" i="2" a="1"/>
  <c r="D158" i="2" s="1"/>
  <c r="E158" i="2" s="1"/>
  <c r="C158" i="2" a="1"/>
  <c r="C158" i="2" s="1"/>
  <c r="B158" i="2" a="1"/>
  <c r="B158" i="2" s="1"/>
  <c r="D157" i="2"/>
  <c r="E157" i="2" s="1"/>
  <c r="D157" i="2" a="1"/>
  <c r="C157" i="2" a="1"/>
  <c r="C157" i="2" s="1"/>
  <c r="B157" i="2" a="1"/>
  <c r="B157" i="2" s="1"/>
  <c r="D156" i="2" a="1"/>
  <c r="D156" i="2" s="1"/>
  <c r="E156" i="2" s="1"/>
  <c r="C156" i="2" a="1"/>
  <c r="C156" i="2" s="1"/>
  <c r="B156" i="2"/>
  <c r="B156" i="2" a="1"/>
  <c r="D155" i="2" a="1"/>
  <c r="D155" i="2" s="1"/>
  <c r="E155" i="2" s="1"/>
  <c r="C155" i="2" a="1"/>
  <c r="C155" i="2" s="1"/>
  <c r="B155" i="2" a="1"/>
  <c r="B155" i="2" s="1"/>
  <c r="D154" i="2" a="1"/>
  <c r="D154" i="2" s="1"/>
  <c r="E154" i="2" s="1"/>
  <c r="C154" i="2" a="1"/>
  <c r="C154" i="2" s="1"/>
  <c r="B154" i="2" a="1"/>
  <c r="B154" i="2" s="1"/>
  <c r="D153" i="2" a="1"/>
  <c r="D153" i="2" s="1"/>
  <c r="E153" i="2" s="1"/>
  <c r="C153" i="2" a="1"/>
  <c r="C153" i="2" s="1"/>
  <c r="B153" i="2" a="1"/>
  <c r="B153" i="2" s="1"/>
  <c r="D152" i="2" a="1"/>
  <c r="D152" i="2" s="1"/>
  <c r="E152" i="2" s="1"/>
  <c r="C152" i="2" a="1"/>
  <c r="C152" i="2" s="1"/>
  <c r="B152" i="2" a="1"/>
  <c r="B152" i="2" s="1"/>
  <c r="D151" i="2" a="1"/>
  <c r="D151" i="2" s="1"/>
  <c r="E151" i="2" s="1"/>
  <c r="C151" i="2" a="1"/>
  <c r="C151" i="2" s="1"/>
  <c r="B151" i="2" a="1"/>
  <c r="B151" i="2" s="1"/>
  <c r="D150" i="2" a="1"/>
  <c r="D150" i="2" s="1"/>
  <c r="E150" i="2" s="1"/>
  <c r="C150" i="2" a="1"/>
  <c r="C150" i="2" s="1"/>
  <c r="B150" i="2" a="1"/>
  <c r="B150" i="2" s="1"/>
  <c r="D149" i="2"/>
  <c r="E149" i="2" s="1"/>
  <c r="D149" i="2" a="1"/>
  <c r="C149" i="2" a="1"/>
  <c r="C149" i="2" s="1"/>
  <c r="B149" i="2" a="1"/>
  <c r="B149" i="2" s="1"/>
  <c r="D148" i="2" a="1"/>
  <c r="D148" i="2" s="1"/>
  <c r="E148" i="2" s="1"/>
  <c r="C148" i="2" a="1"/>
  <c r="C148" i="2" s="1"/>
  <c r="B148" i="2" a="1"/>
  <c r="B148" i="2" s="1"/>
  <c r="D147" i="2" a="1"/>
  <c r="D147" i="2" s="1"/>
  <c r="E147" i="2" s="1"/>
  <c r="C147" i="2" a="1"/>
  <c r="C147" i="2" s="1"/>
  <c r="B147" i="2" a="1"/>
  <c r="B147" i="2" s="1"/>
  <c r="D146" i="2" a="1"/>
  <c r="D146" i="2" s="1"/>
  <c r="E146" i="2" s="1"/>
  <c r="C146" i="2" a="1"/>
  <c r="C146" i="2" s="1"/>
  <c r="B146" i="2" a="1"/>
  <c r="B146" i="2" s="1"/>
  <c r="D145" i="2" a="1"/>
  <c r="D145" i="2" s="1"/>
  <c r="E145" i="2" s="1"/>
  <c r="C145" i="2" a="1"/>
  <c r="C145" i="2" s="1"/>
  <c r="B145" i="2" a="1"/>
  <c r="B145" i="2" s="1"/>
  <c r="D144" i="2" a="1"/>
  <c r="D144" i="2" s="1"/>
  <c r="E144" i="2" s="1"/>
  <c r="C144" i="2" a="1"/>
  <c r="C144" i="2" s="1"/>
  <c r="B144" i="2" a="1"/>
  <c r="B144" i="2" s="1"/>
  <c r="D143" i="2" a="1"/>
  <c r="D143" i="2" s="1"/>
  <c r="E143" i="2" s="1"/>
  <c r="C143" i="2" a="1"/>
  <c r="C143" i="2" s="1"/>
  <c r="B143" i="2" a="1"/>
  <c r="B143" i="2" s="1"/>
  <c r="D142" i="2" a="1"/>
  <c r="D142" i="2" s="1"/>
  <c r="E142" i="2" s="1"/>
  <c r="C142" i="2" a="1"/>
  <c r="C142" i="2" s="1"/>
  <c r="B142" i="2" a="1"/>
  <c r="B142" i="2" s="1"/>
  <c r="D141" i="2" a="1"/>
  <c r="D141" i="2" s="1"/>
  <c r="E141" i="2" s="1"/>
  <c r="C141" i="2" a="1"/>
  <c r="C141" i="2" s="1"/>
  <c r="B141" i="2" a="1"/>
  <c r="B141" i="2" s="1"/>
  <c r="D140" i="2" a="1"/>
  <c r="D140" i="2" s="1"/>
  <c r="E140" i="2" s="1"/>
  <c r="C140" i="2" a="1"/>
  <c r="C140" i="2" s="1"/>
  <c r="B140" i="2" a="1"/>
  <c r="B140" i="2" s="1"/>
  <c r="D139" i="2"/>
  <c r="E139" i="2" s="1"/>
  <c r="D139" i="2" a="1"/>
  <c r="C139" i="2" a="1"/>
  <c r="C139" i="2" s="1"/>
  <c r="B139" i="2" a="1"/>
  <c r="B139" i="2" s="1"/>
  <c r="D138" i="2" a="1"/>
  <c r="D138" i="2" s="1"/>
  <c r="E138" i="2" s="1"/>
  <c r="C138" i="2" a="1"/>
  <c r="C138" i="2" s="1"/>
  <c r="B138" i="2" a="1"/>
  <c r="B138" i="2" s="1"/>
  <c r="D137" i="2" a="1"/>
  <c r="D137" i="2" s="1"/>
  <c r="E137" i="2" s="1"/>
  <c r="C137" i="2" a="1"/>
  <c r="C137" i="2" s="1"/>
  <c r="B137" i="2" a="1"/>
  <c r="B137" i="2" s="1"/>
  <c r="D136" i="2" a="1"/>
  <c r="D136" i="2" s="1"/>
  <c r="E136" i="2" s="1"/>
  <c r="C136" i="2" a="1"/>
  <c r="C136" i="2" s="1"/>
  <c r="B136" i="2" a="1"/>
  <c r="B136" i="2" s="1"/>
  <c r="D135" i="2" a="1"/>
  <c r="D135" i="2" s="1"/>
  <c r="E135" i="2" s="1"/>
  <c r="C135" i="2" a="1"/>
  <c r="C135" i="2" s="1"/>
  <c r="B135" i="2" a="1"/>
  <c r="B135" i="2" s="1"/>
  <c r="D134" i="2" a="1"/>
  <c r="D134" i="2" s="1"/>
  <c r="E134" i="2" s="1"/>
  <c r="C134" i="2" a="1"/>
  <c r="C134" i="2" s="1"/>
  <c r="B134" i="2" a="1"/>
  <c r="B134" i="2" s="1"/>
  <c r="D133" i="2" a="1"/>
  <c r="D133" i="2" s="1"/>
  <c r="E133" i="2" s="1"/>
  <c r="C133" i="2" a="1"/>
  <c r="C133" i="2" s="1"/>
  <c r="B133" i="2" a="1"/>
  <c r="B133" i="2" s="1"/>
  <c r="D132" i="2" a="1"/>
  <c r="D132" i="2" s="1"/>
  <c r="E132" i="2" s="1"/>
  <c r="C132" i="2" a="1"/>
  <c r="C132" i="2" s="1"/>
  <c r="B132" i="2" a="1"/>
  <c r="B132" i="2" s="1"/>
  <c r="D131" i="2" a="1"/>
  <c r="D131" i="2" s="1"/>
  <c r="E131" i="2" s="1"/>
  <c r="C131" i="2" a="1"/>
  <c r="C131" i="2" s="1"/>
  <c r="B131" i="2" a="1"/>
  <c r="B131" i="2" s="1"/>
  <c r="D130" i="2" a="1"/>
  <c r="D130" i="2" s="1"/>
  <c r="E130" i="2" s="1"/>
  <c r="C130" i="2" a="1"/>
  <c r="C130" i="2" s="1"/>
  <c r="B130" i="2" a="1"/>
  <c r="B130" i="2" s="1"/>
  <c r="D129" i="2" a="1"/>
  <c r="D129" i="2" s="1"/>
  <c r="E129" i="2" s="1"/>
  <c r="C129" i="2" a="1"/>
  <c r="C129" i="2" s="1"/>
  <c r="B129" i="2" a="1"/>
  <c r="B129" i="2" s="1"/>
  <c r="D128" i="2" a="1"/>
  <c r="D128" i="2" s="1"/>
  <c r="E128" i="2" s="1"/>
  <c r="C128" i="2" a="1"/>
  <c r="C128" i="2" s="1"/>
  <c r="B128" i="2" a="1"/>
  <c r="B128" i="2" s="1"/>
  <c r="D127" i="2" a="1"/>
  <c r="D127" i="2" s="1"/>
  <c r="E127" i="2" s="1"/>
  <c r="C127" i="2" a="1"/>
  <c r="C127" i="2" s="1"/>
  <c r="B127" i="2" a="1"/>
  <c r="B127" i="2" s="1"/>
  <c r="D126" i="2" a="1"/>
  <c r="D126" i="2" s="1"/>
  <c r="E126" i="2" s="1"/>
  <c r="C126" i="2" a="1"/>
  <c r="C126" i="2" s="1"/>
  <c r="B126" i="2" a="1"/>
  <c r="B126" i="2" s="1"/>
  <c r="D125" i="2" a="1"/>
  <c r="D125" i="2" s="1"/>
  <c r="E125" i="2" s="1"/>
  <c r="C125" i="2" a="1"/>
  <c r="C125" i="2" s="1"/>
  <c r="B125" i="2" a="1"/>
  <c r="B125" i="2" s="1"/>
  <c r="D124" i="2" a="1"/>
  <c r="D124" i="2" s="1"/>
  <c r="E124" i="2" s="1"/>
  <c r="C124" i="2" a="1"/>
  <c r="C124" i="2" s="1"/>
  <c r="B124" i="2" a="1"/>
  <c r="B124" i="2" s="1"/>
  <c r="D123" i="2" a="1"/>
  <c r="D123" i="2" s="1"/>
  <c r="E123" i="2" s="1"/>
  <c r="C123" i="2" a="1"/>
  <c r="C123" i="2" s="1"/>
  <c r="B123" i="2" a="1"/>
  <c r="B123" i="2" s="1"/>
  <c r="D122" i="2" a="1"/>
  <c r="D122" i="2" s="1"/>
  <c r="E122" i="2" s="1"/>
  <c r="C122" i="2" a="1"/>
  <c r="C122" i="2" s="1"/>
  <c r="B122" i="2" a="1"/>
  <c r="B122" i="2" s="1"/>
  <c r="D121" i="2" a="1"/>
  <c r="D121" i="2" s="1"/>
  <c r="E121" i="2" s="1"/>
  <c r="C121" i="2" a="1"/>
  <c r="C121" i="2" s="1"/>
  <c r="B121" i="2" a="1"/>
  <c r="B121" i="2" s="1"/>
  <c r="D120" i="2" a="1"/>
  <c r="D120" i="2" s="1"/>
  <c r="E120" i="2" s="1"/>
  <c r="C120" i="2" a="1"/>
  <c r="C120" i="2" s="1"/>
  <c r="B120" i="2" a="1"/>
  <c r="B120" i="2" s="1"/>
  <c r="D119" i="2" a="1"/>
  <c r="D119" i="2" s="1"/>
  <c r="E119" i="2" s="1"/>
  <c r="C119" i="2" a="1"/>
  <c r="C119" i="2" s="1"/>
  <c r="B119" i="2" a="1"/>
  <c r="B119" i="2" s="1"/>
  <c r="D118" i="2" a="1"/>
  <c r="D118" i="2" s="1"/>
  <c r="E118" i="2" s="1"/>
  <c r="C118" i="2" a="1"/>
  <c r="C118" i="2" s="1"/>
  <c r="B118" i="2"/>
  <c r="B118" i="2" a="1"/>
  <c r="D117" i="2" a="1"/>
  <c r="D117" i="2" s="1"/>
  <c r="E117" i="2" s="1"/>
  <c r="C117" i="2" a="1"/>
  <c r="C117" i="2" s="1"/>
  <c r="B117" i="2"/>
  <c r="B117" i="2" a="1"/>
  <c r="D116" i="2" a="1"/>
  <c r="D116" i="2" s="1"/>
  <c r="E116" i="2" s="1"/>
  <c r="C116" i="2" a="1"/>
  <c r="C116" i="2" s="1"/>
  <c r="B116" i="2" a="1"/>
  <c r="B116" i="2" s="1"/>
  <c r="D115" i="2" a="1"/>
  <c r="D115" i="2" s="1"/>
  <c r="E115" i="2" s="1"/>
  <c r="C115" i="2" a="1"/>
  <c r="C115" i="2" s="1"/>
  <c r="B115" i="2" a="1"/>
  <c r="B115" i="2" s="1"/>
  <c r="D114" i="2" a="1"/>
  <c r="D114" i="2" s="1"/>
  <c r="E114" i="2" s="1"/>
  <c r="C114" i="2" a="1"/>
  <c r="C114" i="2" s="1"/>
  <c r="B114" i="2" a="1"/>
  <c r="B114" i="2" s="1"/>
  <c r="D113" i="2" a="1"/>
  <c r="D113" i="2" s="1"/>
  <c r="E113" i="2" s="1"/>
  <c r="C113" i="2" a="1"/>
  <c r="C113" i="2" s="1"/>
  <c r="B113" i="2" a="1"/>
  <c r="B113" i="2" s="1"/>
  <c r="D112" i="2" a="1"/>
  <c r="D112" i="2" s="1"/>
  <c r="E112" i="2" s="1"/>
  <c r="C112" i="2" a="1"/>
  <c r="C112" i="2" s="1"/>
  <c r="B112" i="2"/>
  <c r="B112" i="2" a="1"/>
  <c r="D111" i="2" a="1"/>
  <c r="D111" i="2" s="1"/>
  <c r="E111" i="2" s="1"/>
  <c r="C111" i="2" a="1"/>
  <c r="C111" i="2" s="1"/>
  <c r="B111" i="2" a="1"/>
  <c r="B111" i="2" s="1"/>
  <c r="D110" i="2" a="1"/>
  <c r="D110" i="2" s="1"/>
  <c r="E110" i="2" s="1"/>
  <c r="C110" i="2" a="1"/>
  <c r="C110" i="2" s="1"/>
  <c r="B110" i="2" a="1"/>
  <c r="B110" i="2" s="1"/>
  <c r="D109" i="2" a="1"/>
  <c r="D109" i="2" s="1"/>
  <c r="E109" i="2" s="1"/>
  <c r="C109" i="2" a="1"/>
  <c r="C109" i="2" s="1"/>
  <c r="B109" i="2" a="1"/>
  <c r="B109" i="2" s="1"/>
  <c r="D108" i="2" a="1"/>
  <c r="D108" i="2" s="1"/>
  <c r="E108" i="2" s="1"/>
  <c r="C108" i="2" a="1"/>
  <c r="C108" i="2" s="1"/>
  <c r="B108" i="2" a="1"/>
  <c r="B108" i="2" s="1"/>
  <c r="D107" i="2" a="1"/>
  <c r="D107" i="2" s="1"/>
  <c r="E107" i="2" s="1"/>
  <c r="C107" i="2" a="1"/>
  <c r="C107" i="2" s="1"/>
  <c r="B107" i="2" a="1"/>
  <c r="B107" i="2" s="1"/>
  <c r="D106" i="2" a="1"/>
  <c r="D106" i="2" s="1"/>
  <c r="E106" i="2" s="1"/>
  <c r="F106" i="2" s="1"/>
  <c r="C106" i="2" a="1"/>
  <c r="C106" i="2" s="1"/>
  <c r="B106" i="2" a="1"/>
  <c r="B106" i="2" s="1"/>
  <c r="D105" i="2" a="1"/>
  <c r="D105" i="2" s="1"/>
  <c r="E105" i="2" s="1"/>
  <c r="C105" i="2" a="1"/>
  <c r="C105" i="2" s="1"/>
  <c r="B105" i="2" a="1"/>
  <c r="B105" i="2" s="1"/>
  <c r="D104" i="2" a="1"/>
  <c r="D104" i="2" s="1"/>
  <c r="E104" i="2" s="1"/>
  <c r="C104" i="2"/>
  <c r="C104" i="2" a="1"/>
  <c r="B104" i="2" a="1"/>
  <c r="B104" i="2" s="1"/>
  <c r="D103" i="2" a="1"/>
  <c r="D103" i="2" s="1"/>
  <c r="E103" i="2" s="1"/>
  <c r="C103" i="2" a="1"/>
  <c r="C103" i="2" s="1"/>
  <c r="B103" i="2" a="1"/>
  <c r="B103" i="2" s="1"/>
  <c r="E102" i="2"/>
  <c r="D102" i="2" a="1"/>
  <c r="D102" i="2" s="1"/>
  <c r="C102" i="2" a="1"/>
  <c r="C102" i="2" s="1"/>
  <c r="B102" i="2" a="1"/>
  <c r="B102" i="2" s="1"/>
  <c r="D101" i="2" a="1"/>
  <c r="D101" i="2" s="1"/>
  <c r="E101" i="2" s="1"/>
  <c r="C101" i="2" a="1"/>
  <c r="C101" i="2" s="1"/>
  <c r="B101" i="2" a="1"/>
  <c r="B101" i="2" s="1"/>
  <c r="D100" i="2" a="1"/>
  <c r="D100" i="2" s="1"/>
  <c r="E100" i="2" s="1"/>
  <c r="C100" i="2" a="1"/>
  <c r="C100" i="2" s="1"/>
  <c r="B100" i="2" a="1"/>
  <c r="B100" i="2" s="1"/>
  <c r="D99" i="2" a="1"/>
  <c r="D99" i="2" s="1"/>
  <c r="E99" i="2" s="1"/>
  <c r="C99" i="2" a="1"/>
  <c r="C99" i="2" s="1"/>
  <c r="B99" i="2" a="1"/>
  <c r="B99" i="2" s="1"/>
  <c r="D98" i="2"/>
  <c r="E98" i="2" s="1"/>
  <c r="D98" i="2" a="1"/>
  <c r="C98" i="2" a="1"/>
  <c r="C98" i="2" s="1"/>
  <c r="B98" i="2" a="1"/>
  <c r="B98" i="2" s="1"/>
  <c r="D97" i="2" a="1"/>
  <c r="D97" i="2" s="1"/>
  <c r="E97" i="2" s="1"/>
  <c r="C97" i="2" a="1"/>
  <c r="C97" i="2" s="1"/>
  <c r="B97" i="2" a="1"/>
  <c r="B97" i="2" s="1"/>
  <c r="D96" i="2" a="1"/>
  <c r="D96" i="2" s="1"/>
  <c r="E96" i="2" s="1"/>
  <c r="C96" i="2" a="1"/>
  <c r="C96" i="2" s="1"/>
  <c r="B96" i="2" a="1"/>
  <c r="B96" i="2" s="1"/>
  <c r="D95" i="2" a="1"/>
  <c r="D95" i="2" s="1"/>
  <c r="E95" i="2" s="1"/>
  <c r="C95" i="2" a="1"/>
  <c r="C95" i="2" s="1"/>
  <c r="B95" i="2" a="1"/>
  <c r="B95" i="2" s="1"/>
  <c r="D94" i="2" a="1"/>
  <c r="D94" i="2" s="1"/>
  <c r="E94" i="2" s="1"/>
  <c r="C94" i="2" a="1"/>
  <c r="C94" i="2" s="1"/>
  <c r="B94" i="2" a="1"/>
  <c r="B94" i="2" s="1"/>
  <c r="D93" i="2" a="1"/>
  <c r="D93" i="2" s="1"/>
  <c r="E93" i="2" s="1"/>
  <c r="C93" i="2" a="1"/>
  <c r="C93" i="2" s="1"/>
  <c r="B93" i="2" a="1"/>
  <c r="B93" i="2" s="1"/>
  <c r="D92" i="2"/>
  <c r="E92" i="2" s="1"/>
  <c r="D92" i="2" a="1"/>
  <c r="C92" i="2" a="1"/>
  <c r="C92" i="2" s="1"/>
  <c r="B92" i="2" a="1"/>
  <c r="B92" i="2" s="1"/>
  <c r="D91" i="2" a="1"/>
  <c r="D91" i="2" s="1"/>
  <c r="E91" i="2" s="1"/>
  <c r="C91" i="2" a="1"/>
  <c r="C91" i="2" s="1"/>
  <c r="B91" i="2" a="1"/>
  <c r="B91" i="2" s="1"/>
  <c r="D90" i="2" a="1"/>
  <c r="D90" i="2" s="1"/>
  <c r="E90" i="2" s="1"/>
  <c r="C90" i="2" a="1"/>
  <c r="C90" i="2" s="1"/>
  <c r="B90" i="2" a="1"/>
  <c r="B90" i="2" s="1"/>
  <c r="D89" i="2" a="1"/>
  <c r="D89" i="2" s="1"/>
  <c r="E89" i="2" s="1"/>
  <c r="F89" i="2" s="1"/>
  <c r="C89" i="2" a="1"/>
  <c r="C89" i="2" s="1"/>
  <c r="B89" i="2" a="1"/>
  <c r="B89" i="2" s="1"/>
  <c r="D88" i="2"/>
  <c r="E88" i="2" s="1"/>
  <c r="D88" i="2" a="1"/>
  <c r="C88" i="2" a="1"/>
  <c r="C88" i="2" s="1"/>
  <c r="B88" i="2" a="1"/>
  <c r="B88" i="2" s="1"/>
  <c r="D87" i="2" a="1"/>
  <c r="D87" i="2" s="1"/>
  <c r="E87" i="2" s="1"/>
  <c r="C87" i="2" a="1"/>
  <c r="C87" i="2" s="1"/>
  <c r="B87" i="2" a="1"/>
  <c r="B87" i="2" s="1"/>
  <c r="D86" i="2" a="1"/>
  <c r="D86" i="2" s="1"/>
  <c r="E86" i="2" s="1"/>
  <c r="C86" i="2" a="1"/>
  <c r="C86" i="2" s="1"/>
  <c r="B86" i="2" a="1"/>
  <c r="B86" i="2" s="1"/>
  <c r="D85" i="2" a="1"/>
  <c r="D85" i="2" s="1"/>
  <c r="E85" i="2" s="1"/>
  <c r="C85" i="2" a="1"/>
  <c r="C85" i="2" s="1"/>
  <c r="B85" i="2" a="1"/>
  <c r="B85" i="2" s="1"/>
  <c r="D84" i="2" a="1"/>
  <c r="D84" i="2" s="1"/>
  <c r="E84" i="2" s="1"/>
  <c r="C84" i="2" a="1"/>
  <c r="C84" i="2" s="1"/>
  <c r="B84" i="2" a="1"/>
  <c r="B84" i="2" s="1"/>
  <c r="D83" i="2" a="1"/>
  <c r="D83" i="2" s="1"/>
  <c r="E83" i="2" s="1"/>
  <c r="C83" i="2" a="1"/>
  <c r="C83" i="2" s="1"/>
  <c r="B83" i="2" a="1"/>
  <c r="B83" i="2" s="1"/>
  <c r="D82" i="2" a="1"/>
  <c r="D82" i="2" s="1"/>
  <c r="E82" i="2" s="1"/>
  <c r="C82" i="2" a="1"/>
  <c r="C82" i="2" s="1"/>
  <c r="B82" i="2" a="1"/>
  <c r="B82" i="2" s="1"/>
  <c r="D81" i="2" a="1"/>
  <c r="D81" i="2" s="1"/>
  <c r="E81" i="2" s="1"/>
  <c r="C81" i="2" a="1"/>
  <c r="C81" i="2" s="1"/>
  <c r="B81" i="2" a="1"/>
  <c r="B81" i="2" s="1"/>
  <c r="D80" i="2" a="1"/>
  <c r="D80" i="2" s="1"/>
  <c r="E80" i="2" s="1"/>
  <c r="C80" i="2" a="1"/>
  <c r="C80" i="2" s="1"/>
  <c r="B80" i="2"/>
  <c r="B80" i="2" a="1"/>
  <c r="D79" i="2" a="1"/>
  <c r="D79" i="2" s="1"/>
  <c r="E79" i="2" s="1"/>
  <c r="C79" i="2" a="1"/>
  <c r="C79" i="2" s="1"/>
  <c r="B79" i="2" a="1"/>
  <c r="B79" i="2" s="1"/>
  <c r="D78" i="2" a="1"/>
  <c r="D78" i="2" s="1"/>
  <c r="E78" i="2" s="1"/>
  <c r="C78" i="2" a="1"/>
  <c r="C78" i="2" s="1"/>
  <c r="B78" i="2" a="1"/>
  <c r="B78" i="2" s="1"/>
  <c r="D77" i="2" a="1"/>
  <c r="D77" i="2" s="1"/>
  <c r="E77" i="2" s="1"/>
  <c r="G77" i="2" s="1"/>
  <c r="L77" i="2" s="1"/>
  <c r="C77" i="2" a="1"/>
  <c r="C77" i="2" s="1"/>
  <c r="B77" i="2" a="1"/>
  <c r="B77" i="2" s="1"/>
  <c r="D76" i="2" a="1"/>
  <c r="D76" i="2" s="1"/>
  <c r="E76" i="2" s="1"/>
  <c r="C76" i="2" a="1"/>
  <c r="C76" i="2" s="1"/>
  <c r="B76" i="2" a="1"/>
  <c r="B76" i="2" s="1"/>
  <c r="D75" i="2" a="1"/>
  <c r="D75" i="2" s="1"/>
  <c r="E75" i="2" s="1"/>
  <c r="C75" i="2" a="1"/>
  <c r="C75" i="2" s="1"/>
  <c r="B75" i="2" a="1"/>
  <c r="B75" i="2" s="1"/>
  <c r="D74" i="2" a="1"/>
  <c r="D74" i="2" s="1"/>
  <c r="E74" i="2" s="1"/>
  <c r="C74" i="2" a="1"/>
  <c r="C74" i="2" s="1"/>
  <c r="B74" i="2" a="1"/>
  <c r="B74" i="2" s="1"/>
  <c r="D73" i="2" a="1"/>
  <c r="D73" i="2" s="1"/>
  <c r="E73" i="2" s="1"/>
  <c r="C73" i="2" a="1"/>
  <c r="C73" i="2" s="1"/>
  <c r="B73" i="2" a="1"/>
  <c r="B73" i="2" s="1"/>
  <c r="D72" i="2" a="1"/>
  <c r="D72" i="2" s="1"/>
  <c r="E72" i="2" s="1"/>
  <c r="C72" i="2" a="1"/>
  <c r="C72" i="2" s="1"/>
  <c r="B72" i="2" a="1"/>
  <c r="B72" i="2" s="1"/>
  <c r="D71" i="2" a="1"/>
  <c r="D71" i="2" s="1"/>
  <c r="E71" i="2" s="1"/>
  <c r="C71" i="2" a="1"/>
  <c r="C71" i="2" s="1"/>
  <c r="B71" i="2" a="1"/>
  <c r="B71" i="2" s="1"/>
  <c r="D70" i="2" a="1"/>
  <c r="D70" i="2" s="1"/>
  <c r="E70" i="2" s="1"/>
  <c r="C70" i="2" a="1"/>
  <c r="C70" i="2" s="1"/>
  <c r="B70" i="2" a="1"/>
  <c r="B70" i="2" s="1"/>
  <c r="D69" i="2" a="1"/>
  <c r="D69" i="2" s="1"/>
  <c r="E69" i="2" s="1"/>
  <c r="C69" i="2" a="1"/>
  <c r="C69" i="2" s="1"/>
  <c r="B69" i="2" a="1"/>
  <c r="B69" i="2" s="1"/>
  <c r="D68" i="2" a="1"/>
  <c r="D68" i="2" s="1"/>
  <c r="E68" i="2" s="1"/>
  <c r="C68" i="2" a="1"/>
  <c r="C68" i="2" s="1"/>
  <c r="B68" i="2" a="1"/>
  <c r="B68" i="2" s="1"/>
  <c r="D67" i="2" a="1"/>
  <c r="D67" i="2" s="1"/>
  <c r="E67" i="2" s="1"/>
  <c r="C67" i="2" a="1"/>
  <c r="C67" i="2" s="1"/>
  <c r="B67" i="2" a="1"/>
  <c r="B67" i="2" s="1"/>
  <c r="D66" i="2" a="1"/>
  <c r="D66" i="2" s="1"/>
  <c r="E66" i="2" s="1"/>
  <c r="C66" i="2" a="1"/>
  <c r="C66" i="2" s="1"/>
  <c r="B66" i="2" a="1"/>
  <c r="B66" i="2" s="1"/>
  <c r="D65" i="2" a="1"/>
  <c r="D65" i="2" s="1"/>
  <c r="E65" i="2" s="1"/>
  <c r="C65" i="2" a="1"/>
  <c r="C65" i="2" s="1"/>
  <c r="B65" i="2" a="1"/>
  <c r="B65" i="2" s="1"/>
  <c r="D64" i="2" a="1"/>
  <c r="D64" i="2" s="1"/>
  <c r="E64" i="2" s="1"/>
  <c r="C64" i="2" a="1"/>
  <c r="C64" i="2" s="1"/>
  <c r="B64" i="2" a="1"/>
  <c r="B64" i="2" s="1"/>
  <c r="D63" i="2" a="1"/>
  <c r="D63" i="2" s="1"/>
  <c r="E63" i="2" s="1"/>
  <c r="C63" i="2" a="1"/>
  <c r="C63" i="2" s="1"/>
  <c r="B63" i="2" a="1"/>
  <c r="B63" i="2" s="1"/>
  <c r="D62" i="2" a="1"/>
  <c r="D62" i="2" s="1"/>
  <c r="E62" i="2" s="1"/>
  <c r="C62" i="2" a="1"/>
  <c r="C62" i="2" s="1"/>
  <c r="B62" i="2" a="1"/>
  <c r="B62" i="2" s="1"/>
  <c r="D61" i="2" a="1"/>
  <c r="D61" i="2" s="1"/>
  <c r="E61" i="2" s="1"/>
  <c r="C61" i="2" a="1"/>
  <c r="C61" i="2" s="1"/>
  <c r="B61" i="2"/>
  <c r="B61" i="2" a="1"/>
  <c r="D60" i="2" a="1"/>
  <c r="D60" i="2" s="1"/>
  <c r="E60" i="2" s="1"/>
  <c r="C60" i="2" a="1"/>
  <c r="C60" i="2" s="1"/>
  <c r="B60" i="2" a="1"/>
  <c r="B60" i="2" s="1"/>
  <c r="D59" i="2" a="1"/>
  <c r="D59" i="2" s="1"/>
  <c r="E59" i="2" s="1"/>
  <c r="C59" i="2" a="1"/>
  <c r="C59" i="2" s="1"/>
  <c r="B59" i="2" a="1"/>
  <c r="B59" i="2" s="1"/>
  <c r="D58" i="2" a="1"/>
  <c r="D58" i="2" s="1"/>
  <c r="E58" i="2" s="1"/>
  <c r="C58" i="2" a="1"/>
  <c r="C58" i="2" s="1"/>
  <c r="B58" i="2" a="1"/>
  <c r="B58" i="2" s="1"/>
  <c r="D57" i="2" a="1"/>
  <c r="D57" i="2" s="1"/>
  <c r="E57" i="2" s="1"/>
  <c r="C57" i="2" a="1"/>
  <c r="C57" i="2" s="1"/>
  <c r="B57" i="2" a="1"/>
  <c r="B57" i="2" s="1"/>
  <c r="D56" i="2" a="1"/>
  <c r="D56" i="2" s="1"/>
  <c r="E56" i="2" s="1"/>
  <c r="C56" i="2" a="1"/>
  <c r="C56" i="2" s="1"/>
  <c r="B56" i="2"/>
  <c r="B56" i="2" a="1"/>
  <c r="D55" i="2" a="1"/>
  <c r="D55" i="2" s="1"/>
  <c r="E55" i="2" s="1"/>
  <c r="C55" i="2" a="1"/>
  <c r="C55" i="2" s="1"/>
  <c r="B55" i="2" a="1"/>
  <c r="B55" i="2" s="1"/>
  <c r="D54" i="2" a="1"/>
  <c r="D54" i="2" s="1"/>
  <c r="E54" i="2" s="1"/>
  <c r="C54" i="2" a="1"/>
  <c r="C54" i="2" s="1"/>
  <c r="B54" i="2" a="1"/>
  <c r="B54" i="2" s="1"/>
  <c r="D53" i="2" a="1"/>
  <c r="D53" i="2" s="1"/>
  <c r="E53" i="2" s="1"/>
  <c r="C53" i="2" a="1"/>
  <c r="C53" i="2" s="1"/>
  <c r="B53" i="2" a="1"/>
  <c r="B53" i="2" s="1"/>
  <c r="D52" i="2" a="1"/>
  <c r="D52" i="2" s="1"/>
  <c r="E52" i="2" s="1"/>
  <c r="C52" i="2" a="1"/>
  <c r="C52" i="2" s="1"/>
  <c r="B52" i="2" a="1"/>
  <c r="B52" i="2" s="1"/>
  <c r="D51" i="2" a="1"/>
  <c r="D51" i="2" s="1"/>
  <c r="E51" i="2" s="1"/>
  <c r="C51" i="2" a="1"/>
  <c r="C51" i="2" s="1"/>
  <c r="B51" i="2" a="1"/>
  <c r="B51" i="2" s="1"/>
  <c r="D50" i="2" a="1"/>
  <c r="D50" i="2" s="1"/>
  <c r="E50" i="2" s="1"/>
  <c r="C50" i="2" a="1"/>
  <c r="C50" i="2" s="1"/>
  <c r="B50" i="2" a="1"/>
  <c r="B50" i="2" s="1"/>
  <c r="D49" i="2" a="1"/>
  <c r="D49" i="2" s="1"/>
  <c r="E49" i="2" s="1"/>
  <c r="C49" i="2" a="1"/>
  <c r="C49" i="2" s="1"/>
  <c r="B49" i="2" a="1"/>
  <c r="B49" i="2" s="1"/>
  <c r="D48" i="2" a="1"/>
  <c r="D48" i="2" s="1"/>
  <c r="E48" i="2" s="1"/>
  <c r="C48" i="2" a="1"/>
  <c r="C48" i="2" s="1"/>
  <c r="B48" i="2" a="1"/>
  <c r="B48" i="2" s="1"/>
  <c r="D47" i="2" a="1"/>
  <c r="D47" i="2" s="1"/>
  <c r="E47" i="2" s="1"/>
  <c r="C47" i="2" a="1"/>
  <c r="C47" i="2" s="1"/>
  <c r="B47" i="2" a="1"/>
  <c r="B47" i="2" s="1"/>
  <c r="D46" i="2" a="1"/>
  <c r="D46" i="2" s="1"/>
  <c r="E46" i="2" s="1"/>
  <c r="C46" i="2" a="1"/>
  <c r="C46" i="2" s="1"/>
  <c r="B46" i="2" a="1"/>
  <c r="B46" i="2" s="1"/>
  <c r="D45" i="2" a="1"/>
  <c r="D45" i="2" s="1"/>
  <c r="E45" i="2" s="1"/>
  <c r="C45" i="2" a="1"/>
  <c r="C45" i="2" s="1"/>
  <c r="B45" i="2" a="1"/>
  <c r="B45" i="2" s="1"/>
  <c r="D44" i="2" a="1"/>
  <c r="D44" i="2" s="1"/>
  <c r="E44" i="2" s="1"/>
  <c r="G44" i="2" s="1"/>
  <c r="L44" i="2" s="1"/>
  <c r="C44" i="2" a="1"/>
  <c r="C44" i="2" s="1"/>
  <c r="B44" i="2" a="1"/>
  <c r="B44" i="2" s="1"/>
  <c r="D43" i="2" a="1"/>
  <c r="D43" i="2" s="1"/>
  <c r="E43" i="2" s="1"/>
  <c r="C43" i="2" a="1"/>
  <c r="C43" i="2" s="1"/>
  <c r="B43" i="2" a="1"/>
  <c r="B43" i="2" s="1"/>
  <c r="D42" i="2" a="1"/>
  <c r="D42" i="2" s="1"/>
  <c r="E42" i="2" s="1"/>
  <c r="C42" i="2" a="1"/>
  <c r="C42" i="2" s="1"/>
  <c r="B42" i="2" a="1"/>
  <c r="B42" i="2" s="1"/>
  <c r="D41" i="2" a="1"/>
  <c r="D41" i="2" s="1"/>
  <c r="E41" i="2" s="1"/>
  <c r="C41" i="2" a="1"/>
  <c r="C41" i="2" s="1"/>
  <c r="B41" i="2" a="1"/>
  <c r="B41" i="2" s="1"/>
  <c r="D40" i="2" a="1"/>
  <c r="D40" i="2" s="1"/>
  <c r="E40" i="2" s="1"/>
  <c r="C40" i="2" a="1"/>
  <c r="C40" i="2" s="1"/>
  <c r="B40" i="2" a="1"/>
  <c r="B40" i="2" s="1"/>
  <c r="D39" i="2" a="1"/>
  <c r="D39" i="2" s="1"/>
  <c r="E39" i="2" s="1"/>
  <c r="C39" i="2" a="1"/>
  <c r="C39" i="2" s="1"/>
  <c r="B39" i="2" a="1"/>
  <c r="B39" i="2" s="1"/>
  <c r="D38" i="2" a="1"/>
  <c r="D38" i="2" s="1"/>
  <c r="E38" i="2" s="1"/>
  <c r="C38" i="2" a="1"/>
  <c r="C38" i="2" s="1"/>
  <c r="B38" i="2" a="1"/>
  <c r="B38" i="2" s="1"/>
  <c r="D37" i="2" a="1"/>
  <c r="D37" i="2" s="1"/>
  <c r="E37" i="2" s="1"/>
  <c r="C37" i="2" a="1"/>
  <c r="C37" i="2" s="1"/>
  <c r="B37" i="2" a="1"/>
  <c r="B37" i="2" s="1"/>
  <c r="D36" i="2" a="1"/>
  <c r="D36" i="2" s="1"/>
  <c r="E36" i="2" s="1"/>
  <c r="C36" i="2" a="1"/>
  <c r="C36" i="2" s="1"/>
  <c r="B36" i="2" a="1"/>
  <c r="B36" i="2" s="1"/>
  <c r="D35" i="2"/>
  <c r="E35" i="2" s="1"/>
  <c r="D35" i="2" a="1"/>
  <c r="C35" i="2" a="1"/>
  <c r="C35" i="2" s="1"/>
  <c r="B35" i="2" a="1"/>
  <c r="B35" i="2" s="1"/>
  <c r="D34" i="2" a="1"/>
  <c r="D34" i="2" s="1"/>
  <c r="E34" i="2" s="1"/>
  <c r="C34" i="2" a="1"/>
  <c r="C34" i="2" s="1"/>
  <c r="B34" i="2" a="1"/>
  <c r="B34" i="2" s="1"/>
  <c r="D33" i="2" a="1"/>
  <c r="D33" i="2" s="1"/>
  <c r="E33" i="2" s="1"/>
  <c r="C33" i="2" a="1"/>
  <c r="C33" i="2" s="1"/>
  <c r="B33" i="2" a="1"/>
  <c r="B33" i="2" s="1"/>
  <c r="D32" i="2" a="1"/>
  <c r="D32" i="2" s="1"/>
  <c r="E32" i="2" s="1"/>
  <c r="C32" i="2" a="1"/>
  <c r="C32" i="2" s="1"/>
  <c r="B32" i="2" a="1"/>
  <c r="B32" i="2" s="1"/>
  <c r="D31" i="2" a="1"/>
  <c r="D31" i="2" s="1"/>
  <c r="E31" i="2" s="1"/>
  <c r="C31" i="2" a="1"/>
  <c r="C31" i="2" s="1"/>
  <c r="B31" i="2" a="1"/>
  <c r="B31" i="2" s="1"/>
  <c r="D30" i="2" a="1"/>
  <c r="D30" i="2" s="1"/>
  <c r="E30" i="2" s="1"/>
  <c r="C30" i="2" a="1"/>
  <c r="C30" i="2" s="1"/>
  <c r="B30" i="2" a="1"/>
  <c r="B30" i="2" s="1"/>
  <c r="D29" i="2" a="1"/>
  <c r="D29" i="2" s="1"/>
  <c r="E29" i="2" s="1"/>
  <c r="C29" i="2" a="1"/>
  <c r="C29" i="2" s="1"/>
  <c r="B29" i="2" a="1"/>
  <c r="B29" i="2" s="1"/>
  <c r="D28" i="2" a="1"/>
  <c r="D28" i="2" s="1"/>
  <c r="E28" i="2" s="1"/>
  <c r="C28" i="2" a="1"/>
  <c r="C28" i="2" s="1"/>
  <c r="B28" i="2" a="1"/>
  <c r="B28" i="2" s="1"/>
  <c r="D27" i="2" a="1"/>
  <c r="D27" i="2" s="1"/>
  <c r="E27" i="2" s="1"/>
  <c r="C27" i="2" a="1"/>
  <c r="C27" i="2" s="1"/>
  <c r="B27" i="2" a="1"/>
  <c r="B27" i="2" s="1"/>
  <c r="D26" i="2" a="1"/>
  <c r="D26" i="2" s="1"/>
  <c r="E26" i="2" s="1"/>
  <c r="C26" i="2" a="1"/>
  <c r="C26" i="2" s="1"/>
  <c r="B26" i="2" a="1"/>
  <c r="B26" i="2" s="1"/>
  <c r="D25" i="2" a="1"/>
  <c r="D25" i="2" s="1"/>
  <c r="E25" i="2" s="1"/>
  <c r="C25" i="2" a="1"/>
  <c r="C25" i="2" s="1"/>
  <c r="B25" i="2" a="1"/>
  <c r="B25" i="2" s="1"/>
  <c r="D24" i="2" a="1"/>
  <c r="D24" i="2" s="1"/>
  <c r="E24" i="2" s="1"/>
  <c r="C24" i="2" a="1"/>
  <c r="C24" i="2" s="1"/>
  <c r="B24" i="2" a="1"/>
  <c r="B24" i="2" s="1"/>
  <c r="D23" i="2" a="1"/>
  <c r="D23" i="2" s="1"/>
  <c r="E23" i="2" s="1"/>
  <c r="C23" i="2" a="1"/>
  <c r="C23" i="2" s="1"/>
  <c r="B23" i="2" a="1"/>
  <c r="B23" i="2" s="1"/>
  <c r="D22" i="2" a="1"/>
  <c r="D22" i="2" s="1"/>
  <c r="E22" i="2" s="1"/>
  <c r="C22" i="2" a="1"/>
  <c r="C22" i="2" s="1"/>
  <c r="B22" i="2" a="1"/>
  <c r="B22" i="2" s="1"/>
  <c r="D21" i="2" a="1"/>
  <c r="D21" i="2" s="1"/>
  <c r="E21" i="2" s="1"/>
  <c r="C21" i="2" a="1"/>
  <c r="C21" i="2" s="1"/>
  <c r="B21" i="2" a="1"/>
  <c r="B21" i="2" s="1"/>
  <c r="D20" i="2" a="1"/>
  <c r="D20" i="2" s="1"/>
  <c r="E20" i="2" s="1"/>
  <c r="C20" i="2" a="1"/>
  <c r="C20" i="2" s="1"/>
  <c r="B20" i="2" a="1"/>
  <c r="B20" i="2" s="1"/>
  <c r="D19" i="2" a="1"/>
  <c r="D19" i="2" s="1"/>
  <c r="E19" i="2" s="1"/>
  <c r="C19" i="2" a="1"/>
  <c r="C19" i="2" s="1"/>
  <c r="B19" i="2" a="1"/>
  <c r="B19" i="2" s="1"/>
  <c r="D18" i="2" a="1"/>
  <c r="D18" i="2" s="1"/>
  <c r="E18" i="2" s="1"/>
  <c r="C18" i="2" a="1"/>
  <c r="C18" i="2" s="1"/>
  <c r="B18" i="2"/>
  <c r="B18" i="2" a="1"/>
  <c r="D17" i="2" a="1"/>
  <c r="D17" i="2" s="1"/>
  <c r="E17" i="2" s="1"/>
  <c r="C17" i="2" a="1"/>
  <c r="C17" i="2" s="1"/>
  <c r="B17" i="2"/>
  <c r="B17" i="2" a="1"/>
  <c r="D16" i="2" a="1"/>
  <c r="D16" i="2" s="1"/>
  <c r="E16" i="2" s="1"/>
  <c r="C16" i="2" a="1"/>
  <c r="C16" i="2" s="1"/>
  <c r="B16" i="2" a="1"/>
  <c r="B16" i="2" s="1"/>
  <c r="D15" i="2" a="1"/>
  <c r="D15" i="2" s="1"/>
  <c r="E15" i="2" s="1"/>
  <c r="C15" i="2" a="1"/>
  <c r="C15" i="2" s="1"/>
  <c r="B15" i="2" a="1"/>
  <c r="B15" i="2" s="1"/>
  <c r="D14" i="2" a="1"/>
  <c r="D14" i="2" s="1"/>
  <c r="E14" i="2" s="1"/>
  <c r="C14" i="2" a="1"/>
  <c r="C14" i="2" s="1"/>
  <c r="B14" i="2" a="1"/>
  <c r="B14" i="2" s="1"/>
  <c r="D13" i="2" a="1"/>
  <c r="D13" i="2" s="1"/>
  <c r="E13" i="2" s="1"/>
  <c r="C13" i="2" a="1"/>
  <c r="C13" i="2" s="1"/>
  <c r="B13" i="2" a="1"/>
  <c r="B13" i="2" s="1"/>
  <c r="D12" i="2" a="1"/>
  <c r="D12" i="2" s="1"/>
  <c r="E12" i="2" s="1"/>
  <c r="C12" i="2" a="1"/>
  <c r="C12" i="2" s="1"/>
  <c r="B12" i="2" a="1"/>
  <c r="B12" i="2" s="1"/>
  <c r="D11" i="2" a="1"/>
  <c r="D11" i="2" s="1"/>
  <c r="E11" i="2" s="1"/>
  <c r="C11" i="2" a="1"/>
  <c r="C11" i="2" s="1"/>
  <c r="B11" i="2" a="1"/>
  <c r="B11" i="2" s="1"/>
  <c r="D10" i="2" a="1"/>
  <c r="D10" i="2" s="1"/>
  <c r="E10" i="2" s="1"/>
  <c r="C10" i="2" a="1"/>
  <c r="C10" i="2" s="1"/>
  <c r="B10" i="2" a="1"/>
  <c r="B10" i="2" s="1"/>
  <c r="D9" i="2" a="1"/>
  <c r="D9" i="2" s="1"/>
  <c r="E9" i="2" s="1"/>
  <c r="C9" i="2" a="1"/>
  <c r="C9" i="2" s="1"/>
  <c r="B9" i="2" a="1"/>
  <c r="B9" i="2" s="1"/>
  <c r="B8" i="2" a="1"/>
  <c r="B8" i="2" s="1"/>
  <c r="C8" i="2" a="1"/>
  <c r="C8" i="2"/>
  <c r="D8" i="2" a="1"/>
  <c r="D8" i="2" s="1"/>
  <c r="E8" i="2" s="1"/>
  <c r="B5" i="2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3" i="1"/>
  <c r="AB4" i="1"/>
  <c r="AB5" i="1"/>
  <c r="AB6" i="1"/>
  <c r="AB7" i="1"/>
  <c r="AB8" i="1"/>
  <c r="AB9" i="1"/>
  <c r="AB10" i="1"/>
  <c r="AB11" i="1"/>
  <c r="AB2" i="1"/>
  <c r="F140" i="2" l="1"/>
  <c r="F150" i="2"/>
  <c r="F266" i="2"/>
  <c r="K27" i="2"/>
  <c r="K20" i="2"/>
  <c r="K212" i="2"/>
  <c r="K80" i="2"/>
  <c r="K136" i="2"/>
  <c r="K87" i="2"/>
  <c r="F27" i="2"/>
  <c r="H27" i="2" s="1"/>
  <c r="J27" i="2" s="1"/>
  <c r="F42" i="2"/>
  <c r="K42" i="2"/>
  <c r="H42" i="2"/>
  <c r="J42" i="2" s="1"/>
  <c r="K70" i="2"/>
  <c r="G97" i="2"/>
  <c r="L97" i="2" s="1"/>
  <c r="K97" i="2"/>
  <c r="K109" i="2"/>
  <c r="K163" i="2"/>
  <c r="K204" i="2"/>
  <c r="K214" i="2"/>
  <c r="K224" i="2"/>
  <c r="K229" i="2"/>
  <c r="K45" i="2"/>
  <c r="K65" i="2"/>
  <c r="K78" i="2"/>
  <c r="K85" i="2"/>
  <c r="G104" i="2"/>
  <c r="L104" i="2" s="1"/>
  <c r="G109" i="2"/>
  <c r="L109" i="2" s="1"/>
  <c r="K114" i="2"/>
  <c r="K123" i="2"/>
  <c r="G128" i="2"/>
  <c r="L128" i="2" s="1"/>
  <c r="K128" i="2"/>
  <c r="K146" i="2"/>
  <c r="K158" i="2"/>
  <c r="F166" i="2"/>
  <c r="H166" i="2" s="1"/>
  <c r="J166" i="2" s="1"/>
  <c r="K166" i="2"/>
  <c r="K171" i="2"/>
  <c r="K179" i="2"/>
  <c r="K184" i="2"/>
  <c r="K189" i="2"/>
  <c r="K194" i="2"/>
  <c r="H207" i="2"/>
  <c r="J207" i="2" s="1"/>
  <c r="K207" i="2"/>
  <c r="K217" i="2"/>
  <c r="G229" i="2"/>
  <c r="L229" i="2" s="1"/>
  <c r="K232" i="2"/>
  <c r="K240" i="2"/>
  <c r="K245" i="2"/>
  <c r="K260" i="2"/>
  <c r="K268" i="2"/>
  <c r="K10" i="2"/>
  <c r="K17" i="2"/>
  <c r="K19" i="2"/>
  <c r="K21" i="2"/>
  <c r="K26" i="2"/>
  <c r="K28" i="2"/>
  <c r="K40" i="2"/>
  <c r="K53" i="2"/>
  <c r="K68" i="2"/>
  <c r="K73" i="2"/>
  <c r="K90" i="2"/>
  <c r="K95" i="2"/>
  <c r="K100" i="2"/>
  <c r="G102" i="2"/>
  <c r="L102" i="2" s="1"/>
  <c r="F107" i="2"/>
  <c r="H107" i="2" s="1"/>
  <c r="J107" i="2" s="1"/>
  <c r="K107" i="2"/>
  <c r="G121" i="2"/>
  <c r="L121" i="2" s="1"/>
  <c r="K121" i="2"/>
  <c r="K126" i="2"/>
  <c r="K131" i="2"/>
  <c r="K141" i="2"/>
  <c r="K151" i="2"/>
  <c r="K156" i="2"/>
  <c r="F158" i="2"/>
  <c r="H158" i="2" s="1"/>
  <c r="J158" i="2" s="1"/>
  <c r="K161" i="2"/>
  <c r="K174" i="2"/>
  <c r="K187" i="2"/>
  <c r="F197" i="2"/>
  <c r="H197" i="2" s="1"/>
  <c r="J197" i="2" s="1"/>
  <c r="K197" i="2"/>
  <c r="K202" i="2"/>
  <c r="K222" i="2"/>
  <c r="K227" i="2"/>
  <c r="K235" i="2"/>
  <c r="K248" i="2"/>
  <c r="K253" i="2"/>
  <c r="K258" i="2"/>
  <c r="K263" i="2"/>
  <c r="K92" i="2"/>
  <c r="K168" i="2"/>
  <c r="K58" i="2"/>
  <c r="K83" i="2"/>
  <c r="K88" i="2"/>
  <c r="K98" i="2"/>
  <c r="G105" i="2"/>
  <c r="L105" i="2" s="1"/>
  <c r="K105" i="2"/>
  <c r="K110" i="2"/>
  <c r="G112" i="2"/>
  <c r="L112" i="2" s="1"/>
  <c r="K112" i="2"/>
  <c r="F117" i="2"/>
  <c r="H117" i="2" s="1"/>
  <c r="J117" i="2" s="1"/>
  <c r="K117" i="2"/>
  <c r="K119" i="2"/>
  <c r="K134" i="2"/>
  <c r="K139" i="2"/>
  <c r="K144" i="2"/>
  <c r="K149" i="2"/>
  <c r="K154" i="2"/>
  <c r="K164" i="2"/>
  <c r="K169" i="2"/>
  <c r="K177" i="2"/>
  <c r="K182" i="2"/>
  <c r="K192" i="2"/>
  <c r="K200" i="2"/>
  <c r="K205" i="2"/>
  <c r="F207" i="2"/>
  <c r="K210" i="2"/>
  <c r="F215" i="2"/>
  <c r="H215" i="2" s="1"/>
  <c r="J215" i="2" s="1"/>
  <c r="K215" i="2"/>
  <c r="K220" i="2"/>
  <c r="K225" i="2"/>
  <c r="F230" i="2"/>
  <c r="H230" i="2" s="1"/>
  <c r="J230" i="2" s="1"/>
  <c r="K230" i="2"/>
  <c r="K238" i="2"/>
  <c r="G240" i="2"/>
  <c r="L240" i="2" s="1"/>
  <c r="K62" i="2"/>
  <c r="K133" i="2"/>
  <c r="K148" i="2"/>
  <c r="K46" i="2"/>
  <c r="K86" i="2"/>
  <c r="K93" i="2"/>
  <c r="K103" i="2"/>
  <c r="K115" i="2"/>
  <c r="K124" i="2"/>
  <c r="F129" i="2"/>
  <c r="H129" i="2"/>
  <c r="J129" i="2" s="1"/>
  <c r="K129" i="2"/>
  <c r="K147" i="2"/>
  <c r="K159" i="2"/>
  <c r="K172" i="2"/>
  <c r="K185" i="2"/>
  <c r="K190" i="2"/>
  <c r="K195" i="2"/>
  <c r="K218" i="2"/>
  <c r="H218" i="2"/>
  <c r="J218" i="2" s="1"/>
  <c r="K233" i="2"/>
  <c r="K246" i="2"/>
  <c r="K251" i="2"/>
  <c r="K261" i="2"/>
  <c r="G269" i="2"/>
  <c r="L269" i="2" s="1"/>
  <c r="K269" i="2"/>
  <c r="K75" i="2"/>
  <c r="K104" i="2"/>
  <c r="K153" i="2"/>
  <c r="K199" i="2"/>
  <c r="K137" i="2"/>
  <c r="K162" i="2"/>
  <c r="K167" i="2"/>
  <c r="K180" i="2"/>
  <c r="K198" i="2"/>
  <c r="G200" i="2"/>
  <c r="L200" i="2" s="1"/>
  <c r="K203" i="2"/>
  <c r="K208" i="2"/>
  <c r="K213" i="2"/>
  <c r="K223" i="2"/>
  <c r="K228" i="2"/>
  <c r="K236" i="2"/>
  <c r="K241" i="2"/>
  <c r="K249" i="2"/>
  <c r="K254" i="2"/>
  <c r="K264" i="2"/>
  <c r="K272" i="2"/>
  <c r="F32" i="2"/>
  <c r="H32" i="2" s="1"/>
  <c r="J32" i="2" s="1"/>
  <c r="K32" i="2"/>
  <c r="K82" i="2"/>
  <c r="K143" i="2"/>
  <c r="K176" i="2"/>
  <c r="K209" i="2"/>
  <c r="F70" i="2"/>
  <c r="H70" i="2" s="1"/>
  <c r="J70" i="2" s="1"/>
  <c r="K13" i="2"/>
  <c r="K15" i="2"/>
  <c r="K38" i="2"/>
  <c r="K43" i="2"/>
  <c r="K71" i="2"/>
  <c r="K31" i="2"/>
  <c r="G79" i="2"/>
  <c r="L79" i="2" s="1"/>
  <c r="K79" i="2"/>
  <c r="K41" i="2"/>
  <c r="K132" i="2"/>
  <c r="G139" i="2"/>
  <c r="L139" i="2" s="1"/>
  <c r="K157" i="2"/>
  <c r="F11" i="2"/>
  <c r="H11" i="2" s="1"/>
  <c r="J11" i="2" s="1"/>
  <c r="K14" i="2"/>
  <c r="K16" i="2"/>
  <c r="G18" i="2"/>
  <c r="L18" i="2" s="1"/>
  <c r="K18" i="2"/>
  <c r="K29" i="2"/>
  <c r="K34" i="2"/>
  <c r="K39" i="2"/>
  <c r="K44" i="2"/>
  <c r="K49" i="2"/>
  <c r="F59" i="2"/>
  <c r="H59" i="2" s="1"/>
  <c r="J59" i="2" s="1"/>
  <c r="K59" i="2"/>
  <c r="F64" i="2"/>
  <c r="H64" i="2" s="1"/>
  <c r="J64" i="2" s="1"/>
  <c r="K64" i="2"/>
  <c r="G74" i="2"/>
  <c r="L74" i="2" s="1"/>
  <c r="K77" i="2"/>
  <c r="K84" i="2"/>
  <c r="F113" i="2"/>
  <c r="H113" i="2" s="1"/>
  <c r="J113" i="2" s="1"/>
  <c r="K113" i="2"/>
  <c r="K135" i="2"/>
  <c r="K145" i="2"/>
  <c r="K155" i="2"/>
  <c r="K165" i="2"/>
  <c r="G167" i="2"/>
  <c r="L167" i="2" s="1"/>
  <c r="K170" i="2"/>
  <c r="K178" i="2"/>
  <c r="K183" i="2"/>
  <c r="G188" i="2"/>
  <c r="L188" i="2" s="1"/>
  <c r="K188" i="2"/>
  <c r="K193" i="2"/>
  <c r="H193" i="2"/>
  <c r="J193" i="2" s="1"/>
  <c r="K206" i="2"/>
  <c r="G208" i="2"/>
  <c r="L208" i="2" s="1"/>
  <c r="K211" i="2"/>
  <c r="K216" i="2"/>
  <c r="K12" i="2"/>
  <c r="G23" i="2"/>
  <c r="L23" i="2" s="1"/>
  <c r="K23" i="2"/>
  <c r="K37" i="2"/>
  <c r="G55" i="2"/>
  <c r="L55" i="2" s="1"/>
  <c r="K55" i="2"/>
  <c r="K102" i="2"/>
  <c r="K138" i="2"/>
  <c r="K181" i="2"/>
  <c r="K30" i="2"/>
  <c r="K35" i="2"/>
  <c r="K50" i="2"/>
  <c r="K60" i="2"/>
  <c r="K8" i="2"/>
  <c r="K33" i="2"/>
  <c r="K48" i="2"/>
  <c r="K63" i="2"/>
  <c r="K76" i="2"/>
  <c r="K24" i="2"/>
  <c r="K51" i="2"/>
  <c r="K56" i="2"/>
  <c r="K66" i="2"/>
  <c r="K81" i="2"/>
  <c r="K11" i="2"/>
  <c r="H22" i="2"/>
  <c r="J22" i="2" s="1"/>
  <c r="K22" i="2"/>
  <c r="K36" i="2"/>
  <c r="K54" i="2"/>
  <c r="K61" i="2"/>
  <c r="K69" i="2"/>
  <c r="K74" i="2"/>
  <c r="K91" i="2"/>
  <c r="K96" i="2"/>
  <c r="G98" i="2"/>
  <c r="L98" i="2" s="1"/>
  <c r="F101" i="2"/>
  <c r="H101" i="2"/>
  <c r="J101" i="2" s="1"/>
  <c r="K101" i="2"/>
  <c r="G108" i="2"/>
  <c r="L108" i="2" s="1"/>
  <c r="K108" i="2"/>
  <c r="K122" i="2"/>
  <c r="K127" i="2"/>
  <c r="K142" i="2"/>
  <c r="G147" i="2"/>
  <c r="L147" i="2" s="1"/>
  <c r="K152" i="2"/>
  <c r="G159" i="2"/>
  <c r="L159" i="2" s="1"/>
  <c r="K175" i="2"/>
  <c r="K9" i="2"/>
  <c r="K25" i="2"/>
  <c r="K47" i="2"/>
  <c r="K52" i="2"/>
  <c r="F57" i="2"/>
  <c r="K57" i="2"/>
  <c r="H57" i="2"/>
  <c r="J57" i="2" s="1"/>
  <c r="K67" i="2"/>
  <c r="K72" i="2"/>
  <c r="K89" i="2"/>
  <c r="H89" i="2"/>
  <c r="J89" i="2" s="1"/>
  <c r="K94" i="2"/>
  <c r="G99" i="2"/>
  <c r="L99" i="2" s="1"/>
  <c r="K99" i="2"/>
  <c r="K106" i="2"/>
  <c r="H106" i="2"/>
  <c r="J106" i="2" s="1"/>
  <c r="K111" i="2"/>
  <c r="K116" i="2"/>
  <c r="K118" i="2"/>
  <c r="K120" i="2"/>
  <c r="K125" i="2"/>
  <c r="F127" i="2"/>
  <c r="H127" i="2" s="1"/>
  <c r="J127" i="2" s="1"/>
  <c r="K130" i="2"/>
  <c r="K140" i="2"/>
  <c r="H140" i="2"/>
  <c r="J140" i="2" s="1"/>
  <c r="H150" i="2"/>
  <c r="J150" i="2" s="1"/>
  <c r="K150" i="2"/>
  <c r="K160" i="2"/>
  <c r="K173" i="2"/>
  <c r="G178" i="2"/>
  <c r="L178" i="2" s="1"/>
  <c r="K186" i="2"/>
  <c r="K191" i="2"/>
  <c r="K196" i="2"/>
  <c r="F201" i="2"/>
  <c r="K201" i="2"/>
  <c r="H201" i="2"/>
  <c r="J201" i="2" s="1"/>
  <c r="G206" i="2"/>
  <c r="L206" i="2" s="1"/>
  <c r="K219" i="2"/>
  <c r="K221" i="2"/>
  <c r="H221" i="2"/>
  <c r="J221" i="2" s="1"/>
  <c r="G226" i="2"/>
  <c r="L226" i="2" s="1"/>
  <c r="H226" i="2"/>
  <c r="J226" i="2" s="1"/>
  <c r="K226" i="2"/>
  <c r="K234" i="2"/>
  <c r="K247" i="2"/>
  <c r="K252" i="2"/>
  <c r="K262" i="2"/>
  <c r="G248" i="2"/>
  <c r="L248" i="2" s="1"/>
  <c r="G263" i="2"/>
  <c r="L263" i="2" s="1"/>
  <c r="G266" i="2"/>
  <c r="L266" i="2" s="1"/>
  <c r="K266" i="2"/>
  <c r="H266" i="2"/>
  <c r="J266" i="2" s="1"/>
  <c r="H231" i="2"/>
  <c r="J231" i="2" s="1"/>
  <c r="K231" i="2"/>
  <c r="K244" i="2"/>
  <c r="G254" i="2"/>
  <c r="L254" i="2" s="1"/>
  <c r="K259" i="2"/>
  <c r="G264" i="2"/>
  <c r="L264" i="2" s="1"/>
  <c r="K267" i="2"/>
  <c r="K270" i="2"/>
  <c r="G252" i="2"/>
  <c r="L252" i="2" s="1"/>
  <c r="K255" i="2"/>
  <c r="K265" i="2"/>
  <c r="K256" i="2"/>
  <c r="K243" i="2"/>
  <c r="G45" i="2"/>
  <c r="L45" i="2" s="1"/>
  <c r="F45" i="2"/>
  <c r="H45" i="2" s="1"/>
  <c r="J45" i="2" s="1"/>
  <c r="G209" i="2"/>
  <c r="L209" i="2" s="1"/>
  <c r="F209" i="2"/>
  <c r="H209" i="2" s="1"/>
  <c r="J209" i="2" s="1"/>
  <c r="F126" i="2"/>
  <c r="H126" i="2" s="1"/>
  <c r="J126" i="2" s="1"/>
  <c r="G126" i="2"/>
  <c r="L126" i="2" s="1"/>
  <c r="G189" i="2"/>
  <c r="L189" i="2" s="1"/>
  <c r="F189" i="2"/>
  <c r="H189" i="2" s="1"/>
  <c r="J189" i="2" s="1"/>
  <c r="F143" i="2"/>
  <c r="H143" i="2" s="1"/>
  <c r="J143" i="2" s="1"/>
  <c r="G143" i="2"/>
  <c r="L143" i="2" s="1"/>
  <c r="F23" i="2"/>
  <c r="H23" i="2" s="1"/>
  <c r="J23" i="2" s="1"/>
  <c r="G202" i="2"/>
  <c r="L202" i="2" s="1"/>
  <c r="F202" i="2"/>
  <c r="H202" i="2" s="1"/>
  <c r="J202" i="2" s="1"/>
  <c r="F225" i="2"/>
  <c r="H225" i="2" s="1"/>
  <c r="J225" i="2" s="1"/>
  <c r="G225" i="2"/>
  <c r="L225" i="2" s="1"/>
  <c r="G220" i="2"/>
  <c r="L220" i="2" s="1"/>
  <c r="F103" i="2"/>
  <c r="H103" i="2" s="1"/>
  <c r="J103" i="2" s="1"/>
  <c r="G137" i="2"/>
  <c r="L137" i="2" s="1"/>
  <c r="F137" i="2"/>
  <c r="H137" i="2" s="1"/>
  <c r="J137" i="2" s="1"/>
  <c r="G218" i="2"/>
  <c r="L218" i="2" s="1"/>
  <c r="F218" i="2"/>
  <c r="G34" i="2"/>
  <c r="L34" i="2" s="1"/>
  <c r="G69" i="2"/>
  <c r="L69" i="2" s="1"/>
  <c r="G228" i="2"/>
  <c r="L228" i="2" s="1"/>
  <c r="G66" i="2"/>
  <c r="L66" i="2" s="1"/>
  <c r="F98" i="2"/>
  <c r="H98" i="2" s="1"/>
  <c r="J98" i="2" s="1"/>
  <c r="F30" i="2"/>
  <c r="H30" i="2" s="1"/>
  <c r="J30" i="2" s="1"/>
  <c r="G251" i="2"/>
  <c r="L251" i="2" s="1"/>
  <c r="G106" i="2"/>
  <c r="L106" i="2" s="1"/>
  <c r="F251" i="2"/>
  <c r="H251" i="2" s="1"/>
  <c r="J251" i="2" s="1"/>
  <c r="G54" i="2"/>
  <c r="L54" i="2" s="1"/>
  <c r="G261" i="2"/>
  <c r="L261" i="2" s="1"/>
  <c r="G48" i="2"/>
  <c r="L48" i="2" s="1"/>
  <c r="G56" i="2"/>
  <c r="L56" i="2" s="1"/>
  <c r="G205" i="2"/>
  <c r="L205" i="2" s="1"/>
  <c r="F205" i="2"/>
  <c r="H205" i="2" s="1"/>
  <c r="J205" i="2" s="1"/>
  <c r="F229" i="2"/>
  <c r="H229" i="2" s="1"/>
  <c r="J229" i="2" s="1"/>
  <c r="G14" i="2"/>
  <c r="L14" i="2" s="1"/>
  <c r="F24" i="2"/>
  <c r="H24" i="2" s="1"/>
  <c r="J24" i="2" s="1"/>
  <c r="F128" i="2"/>
  <c r="H128" i="2" s="1"/>
  <c r="J128" i="2" s="1"/>
  <c r="F172" i="2"/>
  <c r="H172" i="2" s="1"/>
  <c r="J172" i="2" s="1"/>
  <c r="F241" i="2"/>
  <c r="H241" i="2" s="1"/>
  <c r="J241" i="2" s="1"/>
  <c r="F254" i="2"/>
  <c r="H254" i="2" s="1"/>
  <c r="J254" i="2" s="1"/>
  <c r="F105" i="2"/>
  <c r="H105" i="2" s="1"/>
  <c r="J105" i="2" s="1"/>
  <c r="F28" i="2"/>
  <c r="H28" i="2" s="1"/>
  <c r="J28" i="2" s="1"/>
  <c r="G88" i="2"/>
  <c r="L88" i="2" s="1"/>
  <c r="F97" i="2"/>
  <c r="H97" i="2" s="1"/>
  <c r="J97" i="2" s="1"/>
  <c r="F161" i="2"/>
  <c r="H161" i="2" s="1"/>
  <c r="J161" i="2" s="1"/>
  <c r="F38" i="2"/>
  <c r="H38" i="2" s="1"/>
  <c r="J38" i="2" s="1"/>
  <c r="G156" i="2"/>
  <c r="L156" i="2" s="1"/>
  <c r="G215" i="2"/>
  <c r="L215" i="2" s="1"/>
  <c r="F237" i="2"/>
  <c r="H237" i="2" s="1"/>
  <c r="J237" i="2" s="1"/>
  <c r="G43" i="2"/>
  <c r="L43" i="2" s="1"/>
  <c r="F181" i="2"/>
  <c r="H181" i="2" s="1"/>
  <c r="J181" i="2" s="1"/>
  <c r="G65" i="2"/>
  <c r="L65" i="2" s="1"/>
  <c r="F86" i="2"/>
  <c r="H86" i="2" s="1"/>
  <c r="J86" i="2" s="1"/>
  <c r="F123" i="2"/>
  <c r="H123" i="2" s="1"/>
  <c r="J123" i="2" s="1"/>
  <c r="G193" i="2"/>
  <c r="L193" i="2" s="1"/>
  <c r="F100" i="2"/>
  <c r="H100" i="2" s="1"/>
  <c r="J100" i="2" s="1"/>
  <c r="G182" i="2"/>
  <c r="L182" i="2" s="1"/>
  <c r="F263" i="2"/>
  <c r="H263" i="2" s="1"/>
  <c r="J263" i="2" s="1"/>
  <c r="G265" i="2"/>
  <c r="L265" i="2" s="1"/>
  <c r="G230" i="2"/>
  <c r="L230" i="2" s="1"/>
  <c r="F12" i="2"/>
  <c r="H12" i="2" s="1"/>
  <c r="J12" i="2" s="1"/>
  <c r="G68" i="2"/>
  <c r="L68" i="2" s="1"/>
  <c r="G165" i="2"/>
  <c r="L165" i="2" s="1"/>
  <c r="G203" i="2"/>
  <c r="L203" i="2" s="1"/>
  <c r="F219" i="2"/>
  <c r="H219" i="2" s="1"/>
  <c r="J219" i="2" s="1"/>
  <c r="G246" i="2"/>
  <c r="L246" i="2" s="1"/>
  <c r="F53" i="2"/>
  <c r="H53" i="2" s="1"/>
  <c r="J53" i="2" s="1"/>
  <c r="G53" i="2"/>
  <c r="L53" i="2" s="1"/>
  <c r="G122" i="2"/>
  <c r="L122" i="2" s="1"/>
  <c r="F122" i="2"/>
  <c r="H122" i="2" s="1"/>
  <c r="J122" i="2" s="1"/>
  <c r="G19" i="2"/>
  <c r="L19" i="2" s="1"/>
  <c r="F19" i="2"/>
  <c r="H19" i="2" s="1"/>
  <c r="J19" i="2" s="1"/>
  <c r="F95" i="2"/>
  <c r="H95" i="2" s="1"/>
  <c r="J95" i="2" s="1"/>
  <c r="G95" i="2"/>
  <c r="L95" i="2" s="1"/>
  <c r="F148" i="2"/>
  <c r="H148" i="2" s="1"/>
  <c r="J148" i="2" s="1"/>
  <c r="G148" i="2"/>
  <c r="L148" i="2" s="1"/>
  <c r="G13" i="2"/>
  <c r="L13" i="2" s="1"/>
  <c r="F13" i="2"/>
  <c r="H13" i="2" s="1"/>
  <c r="J13" i="2" s="1"/>
  <c r="G75" i="2"/>
  <c r="L75" i="2" s="1"/>
  <c r="F75" i="2"/>
  <c r="H75" i="2" s="1"/>
  <c r="J75" i="2" s="1"/>
  <c r="F180" i="2"/>
  <c r="H180" i="2" s="1"/>
  <c r="J180" i="2" s="1"/>
  <c r="G180" i="2"/>
  <c r="L180" i="2" s="1"/>
  <c r="G71" i="2"/>
  <c r="L71" i="2" s="1"/>
  <c r="F71" i="2"/>
  <c r="H71" i="2" s="1"/>
  <c r="J71" i="2" s="1"/>
  <c r="G31" i="2"/>
  <c r="L31" i="2" s="1"/>
  <c r="F31" i="2"/>
  <c r="H31" i="2" s="1"/>
  <c r="J31" i="2" s="1"/>
  <c r="G33" i="2"/>
  <c r="L33" i="2" s="1"/>
  <c r="F33" i="2"/>
  <c r="H33" i="2" s="1"/>
  <c r="J33" i="2" s="1"/>
  <c r="F67" i="2"/>
  <c r="H67" i="2" s="1"/>
  <c r="J67" i="2" s="1"/>
  <c r="G67" i="2"/>
  <c r="L67" i="2" s="1"/>
  <c r="F183" i="2"/>
  <c r="H183" i="2" s="1"/>
  <c r="J183" i="2" s="1"/>
  <c r="G183" i="2"/>
  <c r="L183" i="2" s="1"/>
  <c r="G15" i="2"/>
  <c r="L15" i="2" s="1"/>
  <c r="F15" i="2"/>
  <c r="H15" i="2" s="1"/>
  <c r="J15" i="2" s="1"/>
  <c r="G17" i="2"/>
  <c r="L17" i="2" s="1"/>
  <c r="F17" i="2"/>
  <c r="H17" i="2" s="1"/>
  <c r="J17" i="2" s="1"/>
  <c r="G22" i="2"/>
  <c r="L22" i="2" s="1"/>
  <c r="F22" i="2"/>
  <c r="F46" i="2"/>
  <c r="H46" i="2" s="1"/>
  <c r="J46" i="2" s="1"/>
  <c r="G46" i="2"/>
  <c r="L46" i="2" s="1"/>
  <c r="F84" i="2"/>
  <c r="H84" i="2" s="1"/>
  <c r="J84" i="2" s="1"/>
  <c r="G84" i="2"/>
  <c r="L84" i="2" s="1"/>
  <c r="G110" i="2"/>
  <c r="L110" i="2" s="1"/>
  <c r="F110" i="2"/>
  <c r="H110" i="2" s="1"/>
  <c r="J110" i="2" s="1"/>
  <c r="G116" i="2"/>
  <c r="L116" i="2" s="1"/>
  <c r="F116" i="2"/>
  <c r="H116" i="2" s="1"/>
  <c r="J116" i="2" s="1"/>
  <c r="G149" i="2"/>
  <c r="L149" i="2" s="1"/>
  <c r="F149" i="2"/>
  <c r="H149" i="2" s="1"/>
  <c r="J149" i="2" s="1"/>
  <c r="G35" i="2"/>
  <c r="L35" i="2" s="1"/>
  <c r="F35" i="2"/>
  <c r="H35" i="2" s="1"/>
  <c r="J35" i="2" s="1"/>
  <c r="F63" i="2"/>
  <c r="H63" i="2" s="1"/>
  <c r="J63" i="2" s="1"/>
  <c r="G63" i="2"/>
  <c r="L63" i="2" s="1"/>
  <c r="F26" i="2"/>
  <c r="H26" i="2" s="1"/>
  <c r="J26" i="2" s="1"/>
  <c r="G26" i="2"/>
  <c r="L26" i="2" s="1"/>
  <c r="G115" i="2"/>
  <c r="L115" i="2" s="1"/>
  <c r="F115" i="2"/>
  <c r="H115" i="2" s="1"/>
  <c r="J115" i="2" s="1"/>
  <c r="G81" i="2"/>
  <c r="L81" i="2" s="1"/>
  <c r="F81" i="2"/>
  <c r="H81" i="2" s="1"/>
  <c r="J81" i="2" s="1"/>
  <c r="G93" i="2"/>
  <c r="L93" i="2" s="1"/>
  <c r="F93" i="2"/>
  <c r="H93" i="2" s="1"/>
  <c r="J93" i="2" s="1"/>
  <c r="G49" i="2"/>
  <c r="L49" i="2" s="1"/>
  <c r="F49" i="2"/>
  <c r="H49" i="2" s="1"/>
  <c r="J49" i="2" s="1"/>
  <c r="F85" i="2"/>
  <c r="H85" i="2" s="1"/>
  <c r="J85" i="2" s="1"/>
  <c r="G85" i="2"/>
  <c r="L85" i="2" s="1"/>
  <c r="F118" i="2"/>
  <c r="H118" i="2" s="1"/>
  <c r="J118" i="2" s="1"/>
  <c r="G118" i="2"/>
  <c r="L118" i="2" s="1"/>
  <c r="G157" i="2"/>
  <c r="L157" i="2" s="1"/>
  <c r="F157" i="2"/>
  <c r="H157" i="2" s="1"/>
  <c r="J157" i="2" s="1"/>
  <c r="G21" i="2"/>
  <c r="L21" i="2" s="1"/>
  <c r="F21" i="2"/>
  <c r="H21" i="2" s="1"/>
  <c r="J21" i="2" s="1"/>
  <c r="G29" i="2"/>
  <c r="L29" i="2" s="1"/>
  <c r="F29" i="2"/>
  <c r="H29" i="2" s="1"/>
  <c r="J29" i="2" s="1"/>
  <c r="G47" i="2"/>
  <c r="L47" i="2" s="1"/>
  <c r="F47" i="2"/>
  <c r="H47" i="2" s="1"/>
  <c r="J47" i="2" s="1"/>
  <c r="G61" i="2"/>
  <c r="L61" i="2" s="1"/>
  <c r="F61" i="2"/>
  <c r="H61" i="2" s="1"/>
  <c r="J61" i="2" s="1"/>
  <c r="G78" i="2"/>
  <c r="L78" i="2" s="1"/>
  <c r="F78" i="2"/>
  <c r="H78" i="2" s="1"/>
  <c r="J78" i="2" s="1"/>
  <c r="F87" i="2"/>
  <c r="H87" i="2" s="1"/>
  <c r="J87" i="2" s="1"/>
  <c r="G87" i="2"/>
  <c r="L87" i="2" s="1"/>
  <c r="F10" i="2"/>
  <c r="H10" i="2" s="1"/>
  <c r="J10" i="2" s="1"/>
  <c r="G10" i="2"/>
  <c r="L10" i="2" s="1"/>
  <c r="G83" i="2"/>
  <c r="L83" i="2" s="1"/>
  <c r="F83" i="2"/>
  <c r="H83" i="2" s="1"/>
  <c r="J83" i="2" s="1"/>
  <c r="F40" i="2"/>
  <c r="H40" i="2" s="1"/>
  <c r="J40" i="2" s="1"/>
  <c r="G40" i="2"/>
  <c r="L40" i="2" s="1"/>
  <c r="G135" i="2"/>
  <c r="L135" i="2" s="1"/>
  <c r="F135" i="2"/>
  <c r="H135" i="2" s="1"/>
  <c r="J135" i="2" s="1"/>
  <c r="G25" i="2"/>
  <c r="L25" i="2" s="1"/>
  <c r="F25" i="2"/>
  <c r="H25" i="2" s="1"/>
  <c r="J25" i="2" s="1"/>
  <c r="G41" i="2"/>
  <c r="L41" i="2" s="1"/>
  <c r="F41" i="2"/>
  <c r="H41" i="2" s="1"/>
  <c r="J41" i="2" s="1"/>
  <c r="G58" i="2"/>
  <c r="L58" i="2" s="1"/>
  <c r="F58" i="2"/>
  <c r="H58" i="2" s="1"/>
  <c r="J58" i="2" s="1"/>
  <c r="F92" i="2"/>
  <c r="H92" i="2" s="1"/>
  <c r="J92" i="2" s="1"/>
  <c r="G92" i="2"/>
  <c r="L92" i="2" s="1"/>
  <c r="F142" i="2"/>
  <c r="H142" i="2" s="1"/>
  <c r="J142" i="2" s="1"/>
  <c r="G142" i="2"/>
  <c r="L142" i="2" s="1"/>
  <c r="G186" i="2"/>
  <c r="L186" i="2" s="1"/>
  <c r="F186" i="2"/>
  <c r="H186" i="2" s="1"/>
  <c r="J186" i="2" s="1"/>
  <c r="G9" i="2"/>
  <c r="L9" i="2" s="1"/>
  <c r="F9" i="2"/>
  <c r="H9" i="2" s="1"/>
  <c r="J9" i="2" s="1"/>
  <c r="F37" i="2"/>
  <c r="H37" i="2" s="1"/>
  <c r="J37" i="2" s="1"/>
  <c r="F72" i="2"/>
  <c r="H72" i="2" s="1"/>
  <c r="J72" i="2" s="1"/>
  <c r="G72" i="2"/>
  <c r="L72" i="2" s="1"/>
  <c r="F90" i="2"/>
  <c r="H90" i="2" s="1"/>
  <c r="J90" i="2" s="1"/>
  <c r="G90" i="2"/>
  <c r="L90" i="2" s="1"/>
  <c r="G138" i="2"/>
  <c r="L138" i="2" s="1"/>
  <c r="F138" i="2"/>
  <c r="H138" i="2" s="1"/>
  <c r="J138" i="2" s="1"/>
  <c r="F36" i="2"/>
  <c r="H36" i="2" s="1"/>
  <c r="J36" i="2" s="1"/>
  <c r="G73" i="2"/>
  <c r="L73" i="2" s="1"/>
  <c r="F73" i="2"/>
  <c r="H73" i="2" s="1"/>
  <c r="J73" i="2" s="1"/>
  <c r="F96" i="2"/>
  <c r="H96" i="2" s="1"/>
  <c r="J96" i="2" s="1"/>
  <c r="G96" i="2"/>
  <c r="L96" i="2" s="1"/>
  <c r="G131" i="2"/>
  <c r="L131" i="2" s="1"/>
  <c r="F131" i="2"/>
  <c r="H131" i="2" s="1"/>
  <c r="J131" i="2" s="1"/>
  <c r="G136" i="2"/>
  <c r="L136" i="2" s="1"/>
  <c r="F136" i="2"/>
  <c r="H136" i="2" s="1"/>
  <c r="J136" i="2" s="1"/>
  <c r="F14" i="2"/>
  <c r="H14" i="2" s="1"/>
  <c r="J14" i="2" s="1"/>
  <c r="G16" i="2"/>
  <c r="L16" i="2" s="1"/>
  <c r="F43" i="2"/>
  <c r="H43" i="2" s="1"/>
  <c r="J43" i="2" s="1"/>
  <c r="F65" i="2"/>
  <c r="H65" i="2" s="1"/>
  <c r="J65" i="2" s="1"/>
  <c r="F69" i="2"/>
  <c r="H69" i="2" s="1"/>
  <c r="J69" i="2" s="1"/>
  <c r="F102" i="2"/>
  <c r="H102" i="2" s="1"/>
  <c r="J102" i="2" s="1"/>
  <c r="F109" i="2"/>
  <c r="H109" i="2" s="1"/>
  <c r="J109" i="2" s="1"/>
  <c r="G124" i="2"/>
  <c r="L124" i="2" s="1"/>
  <c r="G162" i="2"/>
  <c r="L162" i="2" s="1"/>
  <c r="F162" i="2"/>
  <c r="H162" i="2" s="1"/>
  <c r="J162" i="2" s="1"/>
  <c r="G170" i="2"/>
  <c r="L170" i="2" s="1"/>
  <c r="F170" i="2"/>
  <c r="H170" i="2" s="1"/>
  <c r="J170" i="2" s="1"/>
  <c r="G11" i="2"/>
  <c r="L11" i="2" s="1"/>
  <c r="G30" i="2"/>
  <c r="L30" i="2" s="1"/>
  <c r="F76" i="2"/>
  <c r="H76" i="2" s="1"/>
  <c r="J76" i="2" s="1"/>
  <c r="F80" i="2"/>
  <c r="H80" i="2" s="1"/>
  <c r="J80" i="2" s="1"/>
  <c r="G89" i="2"/>
  <c r="L89" i="2" s="1"/>
  <c r="G145" i="2"/>
  <c r="L145" i="2" s="1"/>
  <c r="F145" i="2"/>
  <c r="H145" i="2" s="1"/>
  <c r="J145" i="2" s="1"/>
  <c r="G152" i="2"/>
  <c r="L152" i="2" s="1"/>
  <c r="F152" i="2"/>
  <c r="H152" i="2" s="1"/>
  <c r="J152" i="2" s="1"/>
  <c r="G160" i="2"/>
  <c r="L160" i="2" s="1"/>
  <c r="F160" i="2"/>
  <c r="H160" i="2" s="1"/>
  <c r="J160" i="2" s="1"/>
  <c r="F165" i="2"/>
  <c r="H165" i="2" s="1"/>
  <c r="J165" i="2" s="1"/>
  <c r="F18" i="2"/>
  <c r="H18" i="2" s="1"/>
  <c r="J18" i="2" s="1"/>
  <c r="F34" i="2"/>
  <c r="H34" i="2" s="1"/>
  <c r="J34" i="2" s="1"/>
  <c r="G101" i="2"/>
  <c r="L101" i="2" s="1"/>
  <c r="G190" i="2"/>
  <c r="L190" i="2" s="1"/>
  <c r="F190" i="2"/>
  <c r="H190" i="2" s="1"/>
  <c r="J190" i="2" s="1"/>
  <c r="F192" i="2"/>
  <c r="H192" i="2" s="1"/>
  <c r="J192" i="2" s="1"/>
  <c r="G192" i="2"/>
  <c r="L192" i="2" s="1"/>
  <c r="G198" i="2"/>
  <c r="L198" i="2" s="1"/>
  <c r="F198" i="2"/>
  <c r="H198" i="2" s="1"/>
  <c r="J198" i="2" s="1"/>
  <c r="F271" i="2"/>
  <c r="H271" i="2" s="1"/>
  <c r="J271" i="2" s="1"/>
  <c r="G271" i="2"/>
  <c r="L271" i="2" s="1"/>
  <c r="G86" i="2"/>
  <c r="L86" i="2" s="1"/>
  <c r="G132" i="2"/>
  <c r="L132" i="2" s="1"/>
  <c r="F132" i="2"/>
  <c r="H132" i="2" s="1"/>
  <c r="J132" i="2" s="1"/>
  <c r="G219" i="2"/>
  <c r="L219" i="2" s="1"/>
  <c r="G242" i="2"/>
  <c r="L242" i="2" s="1"/>
  <c r="F242" i="2"/>
  <c r="H242" i="2" s="1"/>
  <c r="J242" i="2" s="1"/>
  <c r="F253" i="2"/>
  <c r="H253" i="2" s="1"/>
  <c r="J253" i="2" s="1"/>
  <c r="G253" i="2"/>
  <c r="L253" i="2" s="1"/>
  <c r="F255" i="2"/>
  <c r="H255" i="2" s="1"/>
  <c r="J255" i="2" s="1"/>
  <c r="G255" i="2"/>
  <c r="L255" i="2" s="1"/>
  <c r="F257" i="2"/>
  <c r="H257" i="2" s="1"/>
  <c r="J257" i="2" s="1"/>
  <c r="G257" i="2"/>
  <c r="L257" i="2" s="1"/>
  <c r="F16" i="2"/>
  <c r="H16" i="2" s="1"/>
  <c r="J16" i="2" s="1"/>
  <c r="G24" i="2"/>
  <c r="L24" i="2" s="1"/>
  <c r="G37" i="2"/>
  <c r="L37" i="2" s="1"/>
  <c r="F44" i="2"/>
  <c r="H44" i="2" s="1"/>
  <c r="J44" i="2" s="1"/>
  <c r="F48" i="2"/>
  <c r="H48" i="2" s="1"/>
  <c r="J48" i="2" s="1"/>
  <c r="F55" i="2"/>
  <c r="H55" i="2" s="1"/>
  <c r="J55" i="2" s="1"/>
  <c r="G57" i="2"/>
  <c r="L57" i="2" s="1"/>
  <c r="F68" i="2"/>
  <c r="H68" i="2" s="1"/>
  <c r="J68" i="2" s="1"/>
  <c r="F74" i="2"/>
  <c r="H74" i="2" s="1"/>
  <c r="J74" i="2" s="1"/>
  <c r="G76" i="2"/>
  <c r="L76" i="2" s="1"/>
  <c r="F77" i="2"/>
  <c r="H77" i="2" s="1"/>
  <c r="J77" i="2" s="1"/>
  <c r="F79" i="2"/>
  <c r="H79" i="2" s="1"/>
  <c r="J79" i="2" s="1"/>
  <c r="F156" i="2"/>
  <c r="H156" i="2" s="1"/>
  <c r="J156" i="2" s="1"/>
  <c r="G172" i="2"/>
  <c r="L172" i="2" s="1"/>
  <c r="F177" i="2"/>
  <c r="H177" i="2" s="1"/>
  <c r="J177" i="2" s="1"/>
  <c r="G177" i="2"/>
  <c r="L177" i="2" s="1"/>
  <c r="G185" i="2"/>
  <c r="L185" i="2" s="1"/>
  <c r="F185" i="2"/>
  <c r="H185" i="2" s="1"/>
  <c r="J185" i="2" s="1"/>
  <c r="F203" i="2"/>
  <c r="H203" i="2" s="1"/>
  <c r="J203" i="2" s="1"/>
  <c r="F206" i="2"/>
  <c r="H206" i="2" s="1"/>
  <c r="J206" i="2" s="1"/>
  <c r="G51" i="2"/>
  <c r="L51" i="2" s="1"/>
  <c r="F51" i="2"/>
  <c r="H51" i="2" s="1"/>
  <c r="J51" i="2" s="1"/>
  <c r="F60" i="2"/>
  <c r="H60" i="2" s="1"/>
  <c r="J60" i="2" s="1"/>
  <c r="G60" i="2"/>
  <c r="L60" i="2" s="1"/>
  <c r="F245" i="2"/>
  <c r="H245" i="2" s="1"/>
  <c r="J245" i="2" s="1"/>
  <c r="G245" i="2"/>
  <c r="L245" i="2" s="1"/>
  <c r="F260" i="2"/>
  <c r="H260" i="2" s="1"/>
  <c r="J260" i="2" s="1"/>
  <c r="G260" i="2"/>
  <c r="L260" i="2" s="1"/>
  <c r="G262" i="2"/>
  <c r="L262" i="2" s="1"/>
  <c r="F262" i="2"/>
  <c r="H262" i="2" s="1"/>
  <c r="J262" i="2" s="1"/>
  <c r="G27" i="2"/>
  <c r="L27" i="2" s="1"/>
  <c r="F184" i="2"/>
  <c r="H184" i="2" s="1"/>
  <c r="J184" i="2" s="1"/>
  <c r="G184" i="2"/>
  <c r="L184" i="2" s="1"/>
  <c r="F196" i="2"/>
  <c r="H196" i="2" s="1"/>
  <c r="J196" i="2" s="1"/>
  <c r="G196" i="2"/>
  <c r="L196" i="2" s="1"/>
  <c r="G210" i="2"/>
  <c r="L210" i="2" s="1"/>
  <c r="F210" i="2"/>
  <c r="H210" i="2" s="1"/>
  <c r="J210" i="2" s="1"/>
  <c r="G217" i="2"/>
  <c r="L217" i="2" s="1"/>
  <c r="F217" i="2"/>
  <c r="H217" i="2" s="1"/>
  <c r="J217" i="2" s="1"/>
  <c r="G247" i="2"/>
  <c r="L247" i="2" s="1"/>
  <c r="F247" i="2"/>
  <c r="H247" i="2" s="1"/>
  <c r="J247" i="2" s="1"/>
  <c r="G20" i="2"/>
  <c r="L20" i="2" s="1"/>
  <c r="G64" i="2"/>
  <c r="L64" i="2" s="1"/>
  <c r="G36" i="2"/>
  <c r="L36" i="2" s="1"/>
  <c r="G70" i="2"/>
  <c r="L70" i="2" s="1"/>
  <c r="G117" i="2"/>
  <c r="L117" i="2" s="1"/>
  <c r="G39" i="2"/>
  <c r="L39" i="2" s="1"/>
  <c r="F39" i="2"/>
  <c r="H39" i="2" s="1"/>
  <c r="J39" i="2" s="1"/>
  <c r="F52" i="2"/>
  <c r="H52" i="2" s="1"/>
  <c r="J52" i="2" s="1"/>
  <c r="G52" i="2"/>
  <c r="L52" i="2" s="1"/>
  <c r="F54" i="2"/>
  <c r="H54" i="2" s="1"/>
  <c r="J54" i="2" s="1"/>
  <c r="G80" i="2"/>
  <c r="L80" i="2" s="1"/>
  <c r="G91" i="2"/>
  <c r="L91" i="2" s="1"/>
  <c r="F91" i="2"/>
  <c r="H91" i="2" s="1"/>
  <c r="J91" i="2" s="1"/>
  <c r="G94" i="2"/>
  <c r="L94" i="2" s="1"/>
  <c r="F94" i="2"/>
  <c r="H94" i="2" s="1"/>
  <c r="J94" i="2" s="1"/>
  <c r="F121" i="2"/>
  <c r="H121" i="2" s="1"/>
  <c r="J121" i="2" s="1"/>
  <c r="G134" i="2"/>
  <c r="L134" i="2" s="1"/>
  <c r="F134" i="2"/>
  <c r="H134" i="2" s="1"/>
  <c r="J134" i="2" s="1"/>
  <c r="G144" i="2"/>
  <c r="L144" i="2" s="1"/>
  <c r="F144" i="2"/>
  <c r="H144" i="2" s="1"/>
  <c r="J144" i="2" s="1"/>
  <c r="F153" i="2"/>
  <c r="H153" i="2" s="1"/>
  <c r="J153" i="2" s="1"/>
  <c r="G153" i="2"/>
  <c r="L153" i="2" s="1"/>
  <c r="F155" i="2"/>
  <c r="H155" i="2" s="1"/>
  <c r="J155" i="2" s="1"/>
  <c r="G155" i="2"/>
  <c r="L155" i="2" s="1"/>
  <c r="G169" i="2"/>
  <c r="L169" i="2" s="1"/>
  <c r="F169" i="2"/>
  <c r="H169" i="2" s="1"/>
  <c r="J169" i="2" s="1"/>
  <c r="F171" i="2"/>
  <c r="H171" i="2" s="1"/>
  <c r="J171" i="2" s="1"/>
  <c r="G171" i="2"/>
  <c r="L171" i="2" s="1"/>
  <c r="F175" i="2"/>
  <c r="H175" i="2" s="1"/>
  <c r="J175" i="2" s="1"/>
  <c r="G175" i="2"/>
  <c r="L175" i="2" s="1"/>
  <c r="F191" i="2"/>
  <c r="H191" i="2" s="1"/>
  <c r="J191" i="2" s="1"/>
  <c r="G191" i="2"/>
  <c r="L191" i="2" s="1"/>
  <c r="F195" i="2"/>
  <c r="H195" i="2" s="1"/>
  <c r="J195" i="2" s="1"/>
  <c r="G195" i="2"/>
  <c r="L195" i="2" s="1"/>
  <c r="F199" i="2"/>
  <c r="H199" i="2" s="1"/>
  <c r="J199" i="2" s="1"/>
  <c r="G199" i="2"/>
  <c r="L199" i="2" s="1"/>
  <c r="F232" i="2"/>
  <c r="H232" i="2" s="1"/>
  <c r="J232" i="2" s="1"/>
  <c r="G232" i="2"/>
  <c r="L232" i="2" s="1"/>
  <c r="F108" i="2"/>
  <c r="H108" i="2" s="1"/>
  <c r="J108" i="2" s="1"/>
  <c r="G119" i="2"/>
  <c r="L119" i="2" s="1"/>
  <c r="F119" i="2"/>
  <c r="H119" i="2" s="1"/>
  <c r="J119" i="2" s="1"/>
  <c r="G146" i="2"/>
  <c r="L146" i="2" s="1"/>
  <c r="F146" i="2"/>
  <c r="H146" i="2" s="1"/>
  <c r="J146" i="2" s="1"/>
  <c r="F174" i="2"/>
  <c r="H174" i="2" s="1"/>
  <c r="J174" i="2" s="1"/>
  <c r="G174" i="2"/>
  <c r="L174" i="2" s="1"/>
  <c r="G32" i="2"/>
  <c r="L32" i="2" s="1"/>
  <c r="G59" i="2"/>
  <c r="L59" i="2" s="1"/>
  <c r="F66" i="2"/>
  <c r="H66" i="2" s="1"/>
  <c r="J66" i="2" s="1"/>
  <c r="G133" i="2"/>
  <c r="L133" i="2" s="1"/>
  <c r="F133" i="2"/>
  <c r="H133" i="2" s="1"/>
  <c r="J133" i="2" s="1"/>
  <c r="G154" i="2"/>
  <c r="L154" i="2" s="1"/>
  <c r="F154" i="2"/>
  <c r="H154" i="2" s="1"/>
  <c r="J154" i="2" s="1"/>
  <c r="G168" i="2"/>
  <c r="L168" i="2" s="1"/>
  <c r="F168" i="2"/>
  <c r="H168" i="2" s="1"/>
  <c r="J168" i="2" s="1"/>
  <c r="F176" i="2"/>
  <c r="H176" i="2" s="1"/>
  <c r="J176" i="2" s="1"/>
  <c r="G176" i="2"/>
  <c r="L176" i="2" s="1"/>
  <c r="G42" i="2"/>
  <c r="L42" i="2" s="1"/>
  <c r="G50" i="2"/>
  <c r="L50" i="2" s="1"/>
  <c r="F50" i="2"/>
  <c r="H50" i="2" s="1"/>
  <c r="J50" i="2" s="1"/>
  <c r="G107" i="2"/>
  <c r="L107" i="2" s="1"/>
  <c r="G113" i="2"/>
  <c r="L113" i="2" s="1"/>
  <c r="F112" i="2"/>
  <c r="H112" i="2" s="1"/>
  <c r="J112" i="2" s="1"/>
  <c r="G62" i="2"/>
  <c r="L62" i="2" s="1"/>
  <c r="F62" i="2"/>
  <c r="H62" i="2" s="1"/>
  <c r="J62" i="2" s="1"/>
  <c r="G100" i="2"/>
  <c r="L100" i="2" s="1"/>
  <c r="G111" i="2"/>
  <c r="L111" i="2" s="1"/>
  <c r="F111" i="2"/>
  <c r="H111" i="2" s="1"/>
  <c r="J111" i="2" s="1"/>
  <c r="F124" i="2"/>
  <c r="H124" i="2" s="1"/>
  <c r="J124" i="2" s="1"/>
  <c r="F164" i="2"/>
  <c r="H164" i="2" s="1"/>
  <c r="J164" i="2" s="1"/>
  <c r="G164" i="2"/>
  <c r="L164" i="2" s="1"/>
  <c r="G12" i="2"/>
  <c r="L12" i="2" s="1"/>
  <c r="F20" i="2"/>
  <c r="H20" i="2" s="1"/>
  <c r="J20" i="2" s="1"/>
  <c r="G28" i="2"/>
  <c r="L28" i="2" s="1"/>
  <c r="G38" i="2"/>
  <c r="L38" i="2" s="1"/>
  <c r="G82" i="2"/>
  <c r="L82" i="2" s="1"/>
  <c r="F82" i="2"/>
  <c r="H82" i="2" s="1"/>
  <c r="J82" i="2" s="1"/>
  <c r="F99" i="2"/>
  <c r="H99" i="2" s="1"/>
  <c r="J99" i="2" s="1"/>
  <c r="G114" i="2"/>
  <c r="L114" i="2" s="1"/>
  <c r="F114" i="2"/>
  <c r="H114" i="2" s="1"/>
  <c r="J114" i="2" s="1"/>
  <c r="G120" i="2"/>
  <c r="L120" i="2" s="1"/>
  <c r="F120" i="2"/>
  <c r="H120" i="2" s="1"/>
  <c r="J120" i="2" s="1"/>
  <c r="G213" i="2"/>
  <c r="L213" i="2" s="1"/>
  <c r="F213" i="2"/>
  <c r="H213" i="2" s="1"/>
  <c r="J213" i="2" s="1"/>
  <c r="G223" i="2"/>
  <c r="L223" i="2" s="1"/>
  <c r="F223" i="2"/>
  <c r="H223" i="2" s="1"/>
  <c r="J223" i="2" s="1"/>
  <c r="F236" i="2"/>
  <c r="H236" i="2" s="1"/>
  <c r="J236" i="2" s="1"/>
  <c r="G236" i="2"/>
  <c r="L236" i="2" s="1"/>
  <c r="F250" i="2"/>
  <c r="H250" i="2" s="1"/>
  <c r="J250" i="2" s="1"/>
  <c r="G267" i="2"/>
  <c r="L267" i="2" s="1"/>
  <c r="F267" i="2"/>
  <c r="H267" i="2" s="1"/>
  <c r="J267" i="2" s="1"/>
  <c r="G127" i="2"/>
  <c r="L127" i="2" s="1"/>
  <c r="G129" i="2"/>
  <c r="L129" i="2" s="1"/>
  <c r="G130" i="2"/>
  <c r="L130" i="2" s="1"/>
  <c r="F130" i="2"/>
  <c r="H130" i="2" s="1"/>
  <c r="J130" i="2" s="1"/>
  <c r="G141" i="2"/>
  <c r="L141" i="2" s="1"/>
  <c r="F141" i="2"/>
  <c r="H141" i="2" s="1"/>
  <c r="J141" i="2" s="1"/>
  <c r="F151" i="2"/>
  <c r="H151" i="2" s="1"/>
  <c r="J151" i="2" s="1"/>
  <c r="G151" i="2"/>
  <c r="L151" i="2" s="1"/>
  <c r="F159" i="2"/>
  <c r="H159" i="2" s="1"/>
  <c r="J159" i="2" s="1"/>
  <c r="F167" i="2"/>
  <c r="H167" i="2" s="1"/>
  <c r="J167" i="2" s="1"/>
  <c r="G211" i="2"/>
  <c r="L211" i="2" s="1"/>
  <c r="F211" i="2"/>
  <c r="H211" i="2" s="1"/>
  <c r="J211" i="2" s="1"/>
  <c r="F214" i="2"/>
  <c r="H214" i="2" s="1"/>
  <c r="J214" i="2" s="1"/>
  <c r="G214" i="2"/>
  <c r="L214" i="2" s="1"/>
  <c r="F220" i="2"/>
  <c r="H220" i="2" s="1"/>
  <c r="J220" i="2" s="1"/>
  <c r="F224" i="2"/>
  <c r="H224" i="2" s="1"/>
  <c r="J224" i="2" s="1"/>
  <c r="G224" i="2"/>
  <c r="L224" i="2" s="1"/>
  <c r="G239" i="2"/>
  <c r="L239" i="2" s="1"/>
  <c r="F239" i="2"/>
  <c r="H239" i="2" s="1"/>
  <c r="J239" i="2" s="1"/>
  <c r="F244" i="2"/>
  <c r="H244" i="2" s="1"/>
  <c r="J244" i="2" s="1"/>
  <c r="G244" i="2"/>
  <c r="L244" i="2" s="1"/>
  <c r="G259" i="2"/>
  <c r="L259" i="2" s="1"/>
  <c r="F259" i="2"/>
  <c r="H259" i="2" s="1"/>
  <c r="J259" i="2" s="1"/>
  <c r="G150" i="2"/>
  <c r="L150" i="2" s="1"/>
  <c r="G158" i="2"/>
  <c r="L158" i="2" s="1"/>
  <c r="F200" i="2"/>
  <c r="H200" i="2" s="1"/>
  <c r="J200" i="2" s="1"/>
  <c r="F216" i="2"/>
  <c r="H216" i="2" s="1"/>
  <c r="J216" i="2" s="1"/>
  <c r="G216" i="2"/>
  <c r="L216" i="2" s="1"/>
  <c r="F249" i="2"/>
  <c r="H249" i="2" s="1"/>
  <c r="J249" i="2" s="1"/>
  <c r="G249" i="2"/>
  <c r="L249" i="2" s="1"/>
  <c r="F88" i="2"/>
  <c r="H88" i="2" s="1"/>
  <c r="J88" i="2" s="1"/>
  <c r="G103" i="2"/>
  <c r="L103" i="2" s="1"/>
  <c r="F104" i="2"/>
  <c r="H104" i="2" s="1"/>
  <c r="J104" i="2" s="1"/>
  <c r="G125" i="2"/>
  <c r="L125" i="2" s="1"/>
  <c r="F125" i="2"/>
  <c r="H125" i="2" s="1"/>
  <c r="J125" i="2" s="1"/>
  <c r="G140" i="2"/>
  <c r="L140" i="2" s="1"/>
  <c r="F163" i="2"/>
  <c r="H163" i="2" s="1"/>
  <c r="J163" i="2" s="1"/>
  <c r="G163" i="2"/>
  <c r="L163" i="2" s="1"/>
  <c r="G166" i="2"/>
  <c r="L166" i="2" s="1"/>
  <c r="F179" i="2"/>
  <c r="H179" i="2" s="1"/>
  <c r="J179" i="2" s="1"/>
  <c r="G179" i="2"/>
  <c r="L179" i="2" s="1"/>
  <c r="F182" i="2"/>
  <c r="H182" i="2" s="1"/>
  <c r="J182" i="2" s="1"/>
  <c r="F204" i="2"/>
  <c r="H204" i="2" s="1"/>
  <c r="J204" i="2" s="1"/>
  <c r="G204" i="2"/>
  <c r="L204" i="2" s="1"/>
  <c r="G207" i="2"/>
  <c r="L207" i="2" s="1"/>
  <c r="G233" i="2"/>
  <c r="L233" i="2" s="1"/>
  <c r="F233" i="2"/>
  <c r="H233" i="2" s="1"/>
  <c r="J233" i="2" s="1"/>
  <c r="F56" i="2"/>
  <c r="H56" i="2" s="1"/>
  <c r="J56" i="2" s="1"/>
  <c r="G123" i="2"/>
  <c r="L123" i="2" s="1"/>
  <c r="F139" i="2"/>
  <c r="H139" i="2" s="1"/>
  <c r="J139" i="2" s="1"/>
  <c r="F194" i="2"/>
  <c r="H194" i="2" s="1"/>
  <c r="J194" i="2" s="1"/>
  <c r="G194" i="2"/>
  <c r="L194" i="2" s="1"/>
  <c r="G227" i="2"/>
  <c r="L227" i="2" s="1"/>
  <c r="F227" i="2"/>
  <c r="H227" i="2" s="1"/>
  <c r="J227" i="2" s="1"/>
  <c r="F235" i="2"/>
  <c r="H235" i="2" s="1"/>
  <c r="J235" i="2" s="1"/>
  <c r="G235" i="2"/>
  <c r="L235" i="2" s="1"/>
  <c r="G238" i="2"/>
  <c r="L238" i="2" s="1"/>
  <c r="F238" i="2"/>
  <c r="H238" i="2" s="1"/>
  <c r="J238" i="2" s="1"/>
  <c r="G243" i="2"/>
  <c r="L243" i="2" s="1"/>
  <c r="F243" i="2"/>
  <c r="H243" i="2" s="1"/>
  <c r="J243" i="2" s="1"/>
  <c r="F246" i="2"/>
  <c r="H246" i="2" s="1"/>
  <c r="J246" i="2" s="1"/>
  <c r="F268" i="2"/>
  <c r="H268" i="2" s="1"/>
  <c r="J268" i="2" s="1"/>
  <c r="G268" i="2"/>
  <c r="L268" i="2" s="1"/>
  <c r="F188" i="2"/>
  <c r="H188" i="2" s="1"/>
  <c r="J188" i="2" s="1"/>
  <c r="G197" i="2"/>
  <c r="L197" i="2" s="1"/>
  <c r="G173" i="2"/>
  <c r="L173" i="2" s="1"/>
  <c r="F173" i="2"/>
  <c r="H173" i="2" s="1"/>
  <c r="J173" i="2" s="1"/>
  <c r="F178" i="2"/>
  <c r="H178" i="2" s="1"/>
  <c r="J178" i="2" s="1"/>
  <c r="F187" i="2"/>
  <c r="H187" i="2" s="1"/>
  <c r="J187" i="2" s="1"/>
  <c r="G234" i="2"/>
  <c r="L234" i="2" s="1"/>
  <c r="F234" i="2"/>
  <c r="H234" i="2" s="1"/>
  <c r="J234" i="2" s="1"/>
  <c r="F248" i="2"/>
  <c r="H248" i="2" s="1"/>
  <c r="J248" i="2" s="1"/>
  <c r="F264" i="2"/>
  <c r="H264" i="2" s="1"/>
  <c r="J264" i="2" s="1"/>
  <c r="F272" i="2"/>
  <c r="H272" i="2" s="1"/>
  <c r="J272" i="2" s="1"/>
  <c r="G272" i="2"/>
  <c r="L272" i="2" s="1"/>
  <c r="F147" i="2"/>
  <c r="H147" i="2" s="1"/>
  <c r="J147" i="2" s="1"/>
  <c r="G161" i="2"/>
  <c r="L161" i="2" s="1"/>
  <c r="G181" i="2"/>
  <c r="L181" i="2" s="1"/>
  <c r="F193" i="2"/>
  <c r="F208" i="2"/>
  <c r="H208" i="2" s="1"/>
  <c r="J208" i="2" s="1"/>
  <c r="F212" i="2"/>
  <c r="H212" i="2" s="1"/>
  <c r="J212" i="2" s="1"/>
  <c r="G212" i="2"/>
  <c r="L212" i="2" s="1"/>
  <c r="G221" i="2"/>
  <c r="L221" i="2" s="1"/>
  <c r="G231" i="2"/>
  <c r="L231" i="2" s="1"/>
  <c r="G237" i="2"/>
  <c r="L237" i="2" s="1"/>
  <c r="F240" i="2"/>
  <c r="H240" i="2" s="1"/>
  <c r="J240" i="2" s="1"/>
  <c r="G241" i="2"/>
  <c r="L241" i="2" s="1"/>
  <c r="F256" i="2"/>
  <c r="H256" i="2" s="1"/>
  <c r="J256" i="2" s="1"/>
  <c r="G256" i="2"/>
  <c r="L256" i="2" s="1"/>
  <c r="F261" i="2"/>
  <c r="H261" i="2" s="1"/>
  <c r="J261" i="2" s="1"/>
  <c r="F270" i="2"/>
  <c r="H270" i="2" s="1"/>
  <c r="J270" i="2" s="1"/>
  <c r="G270" i="2"/>
  <c r="L270" i="2" s="1"/>
  <c r="G222" i="2"/>
  <c r="L222" i="2" s="1"/>
  <c r="F222" i="2"/>
  <c r="H222" i="2" s="1"/>
  <c r="J222" i="2" s="1"/>
  <c r="F252" i="2"/>
  <c r="H252" i="2" s="1"/>
  <c r="J252" i="2" s="1"/>
  <c r="G258" i="2"/>
  <c r="L258" i="2" s="1"/>
  <c r="F258" i="2"/>
  <c r="H258" i="2" s="1"/>
  <c r="J258" i="2" s="1"/>
  <c r="F265" i="2"/>
  <c r="H265" i="2" s="1"/>
  <c r="J265" i="2" s="1"/>
  <c r="F269" i="2"/>
  <c r="H269" i="2" s="1"/>
  <c r="J269" i="2" s="1"/>
  <c r="F228" i="2"/>
  <c r="H228" i="2" s="1"/>
  <c r="J228" i="2" s="1"/>
  <c r="F8" i="2"/>
  <c r="H8" i="2" s="1"/>
  <c r="J8" i="2" s="1"/>
  <c r="G8" i="2"/>
  <c r="L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<sst xmlns="http://schemas.openxmlformats.org/spreadsheetml/2006/main" count="2215" uniqueCount="763">
  <si>
    <t>L3S2P21</t>
  </si>
  <si>
    <t>CTCGGTACCAAATTCCAGAAAAGAGGCCTCCCGAAAGGGGGGCCTTTTTTCGTTTTGGTCC</t>
  </si>
  <si>
    <t>L3S2P56</t>
  </si>
  <si>
    <t>CTCGGTACCAAATTTTCGAAAAAAGACGCTGAAAAGCGTCTTTTTTCGTTTTGGTCC</t>
  </si>
  <si>
    <t>L3S2P51</t>
  </si>
  <si>
    <t>CTCGGTACCAAAAAAAAAAAAAAAGACGCTGAAAAGCGTCTTTTTTCGTTTTGGTCC</t>
  </si>
  <si>
    <t>L3S1P56</t>
  </si>
  <si>
    <t>TTTTCGAAAAAAGGCCTCCCAAATCGGGGGGCCTTTTTTATTGATAACAAAA</t>
  </si>
  <si>
    <t>L3S3P41</t>
  </si>
  <si>
    <t>AAAAAAAAAAAACACCCTAACGGGTGTTTTTTTTTTTTTGGTCTCCC</t>
  </si>
  <si>
    <t>L3S3P51</t>
  </si>
  <si>
    <t>AAAAAAAAAAAACACCCTAACGGGTGTTTTTTTGTTTCTGGTCTCCC</t>
  </si>
  <si>
    <t>L3S1P52</t>
  </si>
  <si>
    <t>TCTAACTAAAAAGGCCTCCCAAATCGGGGGGCCTTTTTTATTGATAACAAAA</t>
  </si>
  <si>
    <t>L3S2P41</t>
  </si>
  <si>
    <t>CTCGGTACCAAAAAAAAAAAAAAAGACGCTGAAAAGCGTCTTTTTTTTTTTTGGTCC</t>
  </si>
  <si>
    <t>L3S2P22</t>
  </si>
  <si>
    <t>CTCGGTACCAAATTCCAGAAAAGAGGCCGCGAAAGCGGCCTTTTTTCGTTTTGGTCC</t>
  </si>
  <si>
    <t>L3S2P11</t>
  </si>
  <si>
    <t>CTCGGTACCAAATTCCAGAAAAGAGACGCTTTCGAGCGTCTTTTTTCGTTTTGGTCC</t>
  </si>
  <si>
    <t>L3S2P55</t>
  </si>
  <si>
    <t>CTCGGTACCAAAGACGAACAATAAGACGCTGAAAAGCGTCTTTTTTCGTTTTGGTCC</t>
  </si>
  <si>
    <t>L3S3P21</t>
  </si>
  <si>
    <t>CCAATTATTGAAGGCCTCCCTAACGGGGGGCCTTTTTTTGTTTCTGGTCTCCC</t>
  </si>
  <si>
    <t>L3S3P56</t>
  </si>
  <si>
    <t>TTTTCGAAAAAACACCCTAACGGGTGTTTTTTTGTTTCTGGTCTCCC</t>
  </si>
  <si>
    <t>L3S2P52</t>
  </si>
  <si>
    <t>CTCGGTACCAAATCTAACTAAAAAGACGCTGAAAAGCGTCTTTTTTCGTTTTGGTCC</t>
  </si>
  <si>
    <t>L3S1P51</t>
  </si>
  <si>
    <t>AAAAAAAAAAAAGGCCTCCCAAATCGGGGGGCCTTTTTTATTGATAACAAAA</t>
  </si>
  <si>
    <t>L3S2P13</t>
  </si>
  <si>
    <t>CTCGGTACCAAATTCCAGAAAAGAGACGCTTAACAGCGTCTTTTTTCGTTTTGGTCC</t>
  </si>
  <si>
    <t>L3S3P22</t>
  </si>
  <si>
    <t>CCAATTATTGAAGGCCGCTAACGCGGCCTTTTTTTGTTTCTGGTCTCCC</t>
  </si>
  <si>
    <t>L3S1P53</t>
  </si>
  <si>
    <t>CCAATTATTGAAGGCCTCCCAAATCGGGGGGCCTTTTTTATTGATAACAAAA</t>
  </si>
  <si>
    <t>L3S3P00</t>
  </si>
  <si>
    <t>CCAATTATTGAAGGGGAGCGGGAAACCGCTCCCCTTTTTTTGTTTCTGGTCTCCC</t>
  </si>
  <si>
    <t>L3S2P53</t>
  </si>
  <si>
    <t>CTCGGTACCAAACCAATTATTGAAGACGCTGAAAAGCGTCTTTTTTCGTTTTGGTCC</t>
  </si>
  <si>
    <t>L3S2P15</t>
  </si>
  <si>
    <t>CTCGGTACCAAATTCCAGAAAAGAGACGCTTTTAGAGCGTCTTTTTTCGTTTTGGTCC</t>
  </si>
  <si>
    <t>L3S2P31</t>
  </si>
  <si>
    <t>CTCGGTACCAAATTCCAGAAAAGAGACGCTGAAAAGCGTCTTTTTTTTTTTTGGTCC</t>
  </si>
  <si>
    <t>L3S1P13</t>
  </si>
  <si>
    <t>GACGAACAATAAGGCCTCCCTAACGGGGGGCCTTTTTTATTGATAACAAAA</t>
  </si>
  <si>
    <t>L3S3P11</t>
  </si>
  <si>
    <t>CCAATTATTGAACACCCTTCGGGGTGTTTTTTTGTTTCTGGTCTCCC</t>
  </si>
  <si>
    <t>L3S3P23</t>
  </si>
  <si>
    <t>CCAATTATTGAAGACGCTTAACAGCGTCTTTTTTTGTTTCTGGTCTCCC</t>
  </si>
  <si>
    <t>L3S1P12</t>
  </si>
  <si>
    <t>GACGAACAATAAGGCCTCCCGAAAGGGGGGCCTTTTTTATTGATAACAAAA</t>
  </si>
  <si>
    <t>L3S3P52</t>
  </si>
  <si>
    <t>TCTAACTAAAAACACCCTAACGGGTGTTTTTTTGTTTCTGGTCTCCC</t>
  </si>
  <si>
    <t>L3S3P12</t>
  </si>
  <si>
    <t>CCAATTATTGAACACCCGAAAGGGTGTTTTTTTGTTTCTGGTCTCCC</t>
  </si>
  <si>
    <t>L3S1P41</t>
  </si>
  <si>
    <t>AAAAAAAAAAAAGGCCTCCCAAATCGGGGGGCCTTTTTTTTTTTTAACAAAA</t>
  </si>
  <si>
    <t>L3S2P24</t>
  </si>
  <si>
    <t>CTCGGTACCAAATTCCAGAAAAGACACCCGAAAGGGTGTTTTTTCGTTTTGGTCC</t>
  </si>
  <si>
    <t>L3S2P14</t>
  </si>
  <si>
    <t>CTCGGTACCAAATTCCAGAAAAGAGACGCTAAATCAGCGTCTTTTTTCGTTTTGGTCC</t>
  </si>
  <si>
    <t>L3S1P54</t>
  </si>
  <si>
    <t>TTCCAGAAAAGAGGCCTCCCAAATCGGGGGGCCTTTTTTATTGATAACAAAA</t>
  </si>
  <si>
    <t>L3S1P22</t>
  </si>
  <si>
    <t>GACGAACAATAAGGCCGCAAATCGCGGCCTTTTTTATTGATAACAAAA</t>
  </si>
  <si>
    <t>L3S2P00</t>
  </si>
  <si>
    <t>CTCGGTACCAAATTCCAGAAAAGAGGGGAGCGGGAAACCGCTCCCCTTTTTTCGTTTTGGTCC</t>
  </si>
  <si>
    <t>L3S1P47</t>
  </si>
  <si>
    <t>TTTTCGAAAAAAGGCCTCCCAAATCGGGGGGCCTTTTTTTATAGCAACAAAA</t>
  </si>
  <si>
    <t>L3S3P45</t>
  </si>
  <si>
    <t>TTCCAGAAAAGACACCCTAACGGGTGTTTTTTCGTTTTTGGTCTCCC</t>
  </si>
  <si>
    <t>L3S2P44</t>
  </si>
  <si>
    <t>CTCGGTACCAAACCAATTATTGAAGACGCTGAAAAGCGTCTTTTTTTGTTTCGGTCC</t>
  </si>
  <si>
    <t>L3S3P54</t>
  </si>
  <si>
    <t>TTCCAGAAAAGACACCCTAACGGGTGTTTTTTTGTTTCTGGTCTCCC</t>
  </si>
  <si>
    <t>L3S3P31</t>
  </si>
  <si>
    <t>CCAATTATTGAACACCCTAACGGGTGTTTTTTTTTTTTTGGTCTCCC</t>
  </si>
  <si>
    <t>L3S1P11</t>
  </si>
  <si>
    <t>GACGAACAATAAGGCCTCCCTTCGGGGGGGCCTTTTTTATTGATAACAAAA</t>
  </si>
  <si>
    <t>L3S3P43</t>
  </si>
  <si>
    <t>TCTAACTAAAAACACCCTAACGGGTGTTTTTTCTTTTCTGGTCTCCC</t>
  </si>
  <si>
    <t>L3S3P42</t>
  </si>
  <si>
    <t>GAAAAATAAAAACACCCTAACGGGTGTTTTTATTTTTCTGGTCTCCC</t>
  </si>
  <si>
    <t>L3S2P42</t>
  </si>
  <si>
    <t>CTCGGTACCAAAGAAAAATAAAAAGACGCTGAAAAGCGTCTTTTTATTTTTCGGTCC</t>
  </si>
  <si>
    <t>L3S3P14</t>
  </si>
  <si>
    <t>CCAATTATTGAACACCCAAATCGGGTGTTTTTTTGTTTCTGGTCTCCC</t>
  </si>
  <si>
    <t>L3S2P43</t>
  </si>
  <si>
    <t>CTCGGTACCAAATCTAACTAAAAAGACGCTGAAAAGCGTCTTTTTTCTTTTCGGTCC</t>
  </si>
  <si>
    <t>L3S3P35</t>
  </si>
  <si>
    <t>CCAATTATTGAACACCCTAACGGGTGTTTTTTCGTTTTTGGTCTCCC</t>
  </si>
  <si>
    <t>L3S1P00</t>
  </si>
  <si>
    <t>GACGAACAATAAGGGGAGCGGGAAACCGCTCCCCTTTTTTATTGATAACAAAA</t>
  </si>
  <si>
    <t>L3S3P47</t>
  </si>
  <si>
    <t>TTTTCGAAAAAACACCCTAACGGGTGTTTTTTTATAGCTGGTCTCCC</t>
  </si>
  <si>
    <t>L3S1P42</t>
  </si>
  <si>
    <t>GAAAAATAAAAAGGCCTCCCAAATCGGGGGGCCTTTTTATTTTTCAACAAAA</t>
  </si>
  <si>
    <t>L3S3P15</t>
  </si>
  <si>
    <t>CCAATTATTGAACACCCTTTAGGGGTGTTTTTTTGTTTCTGGTCTCCC</t>
  </si>
  <si>
    <t>L3S2P47</t>
  </si>
  <si>
    <t>CTCGGTACCAAATTTTCGAAAAAAGACGCTGAAAAGCGTCTTTTTTTATAGCGGTCC</t>
  </si>
  <si>
    <t>L3S1P34</t>
  </si>
  <si>
    <t>GACGAACAATAAGGCCTCCCAAATCGGGGGGCCTTTTTTTGTTTCAACAAAA</t>
  </si>
  <si>
    <t>L3S2P34</t>
  </si>
  <si>
    <t>CTCGGTACCAAATTCCAGAAAAGAGACGCTGAAAAGCGTCTTTTTTTGTTTCGGTCC</t>
  </si>
  <si>
    <t>L3S3P33</t>
  </si>
  <si>
    <t>CCAATTATTGAACACCCTAACGGGTGTTTTTTCTTTTCTGGTCTCCC</t>
  </si>
  <si>
    <t>L3S3P25</t>
  </si>
  <si>
    <t>CCAATTATTGAAGCGGCTAACGCCGCTTTTTTTGTTTCTGGTCTCCC</t>
  </si>
  <si>
    <t>L3S2P33</t>
  </si>
  <si>
    <t>CTCGGTACCAAATTCCAGAAAAGAGACGCTGAAAAGCGTCTTTTTTCTTTTCGGTCC</t>
  </si>
  <si>
    <t>L3S3P55</t>
  </si>
  <si>
    <t>GACGAACAATAACACCCTAACGGGTGTTTTTTTGTTTCTGGTCTCCC</t>
  </si>
  <si>
    <t>L3S3P32</t>
  </si>
  <si>
    <t>CCAATTATTGAACACCCTAACGGGTGTTTTTATTTTTCTGGTCTCCC</t>
  </si>
  <si>
    <t>L3S1P44</t>
  </si>
  <si>
    <t>CCAATTATTGAAGGCCTCCCAAATCGGGGGGCCTTTTTTTGTTTCAACAAAA</t>
  </si>
  <si>
    <t>L3S1P43</t>
  </si>
  <si>
    <t>TCTAACTAAAAAGGCCTCCCAAATCGGGGGGCCTTTTTTCTTTTCAACAAAA</t>
  </si>
  <si>
    <t>L3S3P37</t>
  </si>
  <si>
    <t>CCAATTATTGAACACCCTAACGGGTGTTTTTTTATAGCTGGTCTCCC</t>
  </si>
  <si>
    <t>L3S2P37</t>
  </si>
  <si>
    <t>CTCGGTACCAAATTCCAGAAAAGAGACGCTGAAAAGCGTCTTTTTTTATAGCGGTCC</t>
  </si>
  <si>
    <t>L3S1P32</t>
  </si>
  <si>
    <t>GACGAACAATAAGGCCTCCCAAATCGGGGGGCCTTTTTATTTTTCAACAAAA</t>
  </si>
  <si>
    <t>L3S2P46</t>
  </si>
  <si>
    <t>CTCGGTACCAAAGACGAACAATAAGACGCTGAAAAGCGTCTTTTTTATTGATGGTCC</t>
  </si>
  <si>
    <t>L3S1P31</t>
  </si>
  <si>
    <t>GACGAACAATAAGGCCTCCCAAATCGGGGGGCCTTTTTTTTTTTTAACAAAA</t>
  </si>
  <si>
    <t>L3S1P33</t>
  </si>
  <si>
    <t>GACGAACAATAAGGCCTCCCAAATCGGGGGGCCTTTTTTCTTTTCAACAAAA</t>
  </si>
  <si>
    <t>L3S1P45</t>
  </si>
  <si>
    <t>TTCCAGAAAAGAGGCCTCCCAAATCGGGGGGCCTTTTTTCGTTTTAACAAAA</t>
  </si>
  <si>
    <t>L3S2P36</t>
  </si>
  <si>
    <t>CTCGGTACCAAATTCCAGAAAAGAGACGCTGAAAAGCGTCTTTTTTATTGATGGTCC</t>
  </si>
  <si>
    <t>L2U1H10</t>
  </si>
  <si>
    <t>GGGCGGTCAGATGATCGCCCTTTTTTTTT</t>
  </si>
  <si>
    <t>L2U1H09</t>
  </si>
  <si>
    <t>ACGGCCCTAGATAGGGCCGTTTTTTTTTT</t>
  </si>
  <si>
    <t>L3S1P15</t>
  </si>
  <si>
    <t>GACGAACAATAAGGCCTCCCTTTAGGGGGGGCCTTTTTTATTGATAACAAAA</t>
  </si>
  <si>
    <t>L3S1P35</t>
  </si>
  <si>
    <t>GACGAACAATAAGGCCTCCCAAATCGGGGGGCCTTTTTTCGTTTTAACAAAA</t>
  </si>
  <si>
    <t>L1U1H11</t>
  </si>
  <si>
    <t>CCCGCTTCGGCGGGTTTTTTTTT</t>
  </si>
  <si>
    <t>L1U1H03</t>
  </si>
  <si>
    <t>GATCCAGCCCATTCGTGGGCTGGATCTTTTTTTTT</t>
  </si>
  <si>
    <t>L3S1P23</t>
  </si>
  <si>
    <t>GACGAACAATAAGACGCTAAATCAGCGTCTTTTTTATTGATAACAAAA</t>
  </si>
  <si>
    <t>L3S1P25</t>
  </si>
  <si>
    <t>GACGAACAATAAGCGGCAAATCGCCGCTTTTTTATTGATAACAAAA</t>
  </si>
  <si>
    <t>L3S2P32</t>
  </si>
  <si>
    <t>CTCGGTACCAAATTCCAGAAAAGAGACGCTGAAAAGCGTCTTTTTATTTTTCGGTCC</t>
  </si>
  <si>
    <t>L3S3P46</t>
  </si>
  <si>
    <t>GACGAACAATAACACCCTAACGGGTGTTTTTTATTGATTGGTCTCCC</t>
  </si>
  <si>
    <t>L2U1H07</t>
  </si>
  <si>
    <t>AGGCCTCCCAGATGGGGGGCCTTTTTTTTTT</t>
  </si>
  <si>
    <t>L1U4H02</t>
  </si>
  <si>
    <t>CCCGCATGCCATTCGTGGCATGCGGGTTTTCTCTG</t>
  </si>
  <si>
    <t>L1U4H07</t>
  </si>
  <si>
    <t>GATCCAGCTTCGGCTGGATCTTTTCTCTG</t>
  </si>
  <si>
    <t>L1U4H11</t>
  </si>
  <si>
    <t>CCCGCTTCGGCGGGTTTTCTCTG</t>
  </si>
  <si>
    <t>L1U4H08</t>
  </si>
  <si>
    <t>CCCGCATGTTCGCATGCGGGTTTTCTCTG</t>
  </si>
  <si>
    <t>L1U4H01</t>
  </si>
  <si>
    <t>TCGGTTACCGCTTCGGCGGTAACCGATTTTCTCTG</t>
  </si>
  <si>
    <t>L1U4H06</t>
  </si>
  <si>
    <t>TCGGTTACATGTTCGCATGTAACCGATTTTCTCTG</t>
  </si>
  <si>
    <t>L2U1H08</t>
  </si>
  <si>
    <t>TGCCGGGAAGATTCCCGGCATTTTTTTTT</t>
  </si>
  <si>
    <t>L2U1H12</t>
  </si>
  <si>
    <t>CGCCCGCAGATGCGGGCGTTTTTTTTT</t>
  </si>
  <si>
    <t>L1U4H03</t>
  </si>
  <si>
    <t>GATCCAGCCCATTCGTGGGCTGGATCTTTTCTCTG</t>
  </si>
  <si>
    <t>L1U4H04</t>
  </si>
  <si>
    <t>CGACGATGCCATTCGTGGCATCGTCGTTTTCTCTG</t>
  </si>
  <si>
    <t>L1U4H09</t>
  </si>
  <si>
    <t>CGACGATGTTCGCATCGTCGTTTTCTCTG</t>
  </si>
  <si>
    <t>L3S1P24</t>
  </si>
  <si>
    <t>GACGAACAATAACACCCAAATCGGGTGTTTTTTATTGATAACAAAA</t>
  </si>
  <si>
    <t>L1U4H05</t>
  </si>
  <si>
    <t>CGACGATACCATTCGTGGTATCGTCGTTTTCTCTG</t>
  </si>
  <si>
    <t>L2U6H06</t>
  </si>
  <si>
    <t>CTAAAGCGCCTAACCACGGCGCTTTAGTTTTTTGTA</t>
  </si>
  <si>
    <t>L2U1H06</t>
  </si>
  <si>
    <t>CTAAAGCGCCAGATGGCGCTTTAGTTTTTTTTT</t>
  </si>
  <si>
    <t>L2U2H09</t>
  </si>
  <si>
    <t>ACGGCCCTCGCAAGGGCCGTTTTTTTGTA</t>
  </si>
  <si>
    <t>L2U6H09</t>
  </si>
  <si>
    <t>ACGGCCCTTAACCACAGGGCCGTTTTTTTGTA</t>
  </si>
  <si>
    <t>L2U2H06</t>
  </si>
  <si>
    <t>CTAAAGCGCCCGCAGGCGCTTTAGTTTTTTGTA</t>
  </si>
  <si>
    <t>L1U1H07</t>
  </si>
  <si>
    <t>GATCCAGCTTCGGCTGGATCTTTTTTTTT</t>
  </si>
  <si>
    <t>L2U6H07</t>
  </si>
  <si>
    <t>AGGCCTCCCTAACCACGGGGGGCCTTTTTTTGTA</t>
  </si>
  <si>
    <t>L1U4H12</t>
  </si>
  <si>
    <t>CGACGTTCGCGTCGTTTTCTCTG</t>
  </si>
  <si>
    <t>L1U1H08</t>
  </si>
  <si>
    <t>CCCGCATGTTCGCATGCGGGTTTTTTTTT</t>
  </si>
  <si>
    <t>L2U7H07</t>
  </si>
  <si>
    <t>AGGCCTCCCGAACAGGGGGGCCTTTTTGCAAC</t>
  </si>
  <si>
    <t>L1U4H10</t>
  </si>
  <si>
    <t>CGACGATATTCGTATCGTCGTTTTCTCTG</t>
  </si>
  <si>
    <t>L2U1H11</t>
  </si>
  <si>
    <t>TAGCGTGCAGATGCACGCTATTTTTTTTT</t>
  </si>
  <si>
    <t>L1U2H03</t>
  </si>
  <si>
    <t>GATCCAGCCCATTCGTGGGCTGGATCTTTTTTGGG</t>
  </si>
  <si>
    <t>L1U5H03</t>
  </si>
  <si>
    <t>GATCCAGCCCATTCGTGGGCTGGATCTTTATTGTC</t>
  </si>
  <si>
    <t>L2U4H09</t>
  </si>
  <si>
    <t>ACGGCCCTCGCAAGGGCCGTTTTTGCAAC</t>
  </si>
  <si>
    <t>L2U1H04</t>
  </si>
  <si>
    <t>GCCGGAGCGGAGATCTGCTCCGGCTTTTTTTTT</t>
  </si>
  <si>
    <t>L1U3H07</t>
  </si>
  <si>
    <t>GATCCAGCTTCGGCTGGATCTTTTGTTGG</t>
  </si>
  <si>
    <t>L2U6H12</t>
  </si>
  <si>
    <t>CGCCCGCTAACCACGCGGGCGTTTTTTGTA</t>
  </si>
  <si>
    <t>L2U7H06</t>
  </si>
  <si>
    <t>CTAAAGCGCCGAACAGGCGCTTTAGTTTTGCAAC</t>
  </si>
  <si>
    <t>L1U5H02</t>
  </si>
  <si>
    <t>CCCGCATGCCATTCGTGGCATGCGGGTTTATTGTC</t>
  </si>
  <si>
    <t>L1U2H01</t>
  </si>
  <si>
    <t>TCGGTTACCGCTTCGGCGGTAACCGATTTTTTGGG</t>
  </si>
  <si>
    <t>L1U5H07</t>
  </si>
  <si>
    <t>GATCCAGCTTCGGCTGGATCTTTATTGTC</t>
  </si>
  <si>
    <t>L1U2H04</t>
  </si>
  <si>
    <t>CGACGATGCCATTCGTGGCATCGTCGTTTTTTGGG</t>
  </si>
  <si>
    <t>L2U7H09</t>
  </si>
  <si>
    <t>ACGGCCCTGAACAAGGGCCGTTTTTGCAAC</t>
  </si>
  <si>
    <t>L1U5H09</t>
  </si>
  <si>
    <t>CGACGATGTTCGCATCGTCGTTTATTGTC</t>
  </si>
  <si>
    <t>L2U2H12</t>
  </si>
  <si>
    <t>CGCCCGCCGCAGCGGGCGTTTTTTGTA</t>
  </si>
  <si>
    <t>L1U1H09</t>
  </si>
  <si>
    <t>CGACGATGTTCGCATCGTCGTTTTTTTTT</t>
  </si>
  <si>
    <t>L1U5H01</t>
  </si>
  <si>
    <t>TCGGTTACCGCTTCGGCGGTAACCGATTTATTGTC</t>
  </si>
  <si>
    <t>L2U2H11</t>
  </si>
  <si>
    <t>TAGCGTGCCGCAGCACGCTATTTTTTGTA</t>
  </si>
  <si>
    <t>L2U4H12</t>
  </si>
  <si>
    <t>CGCCCGCCGCAGCGGGCGTTTTGCAAC</t>
  </si>
  <si>
    <t>L1U2H07</t>
  </si>
  <si>
    <t>GATCCAGCTTCGGCTGGATCTTTTTTGGG</t>
  </si>
  <si>
    <t>L2U4H10</t>
  </si>
  <si>
    <t>GGGCGGTCCGCAGATCGCCCTTTTGCAAC</t>
  </si>
  <si>
    <t>L2U3H09</t>
  </si>
  <si>
    <t>ACGGCCCTCGCAAGGGCCGTTTTGTTGAG</t>
  </si>
  <si>
    <t>L1U5H08</t>
  </si>
  <si>
    <t>CCCGCATGTTCGCATGCGGGTTTATTGTC</t>
  </si>
  <si>
    <t>L1U2H11</t>
  </si>
  <si>
    <t>CCCGCTTCGGCGGGTTTTTTGGG</t>
  </si>
  <si>
    <t>L1U5H04</t>
  </si>
  <si>
    <t>CGACGATGCCATTCGTGGCATCGTCGTTTATTGTC</t>
  </si>
  <si>
    <t>L1U2H02</t>
  </si>
  <si>
    <t>CCCGCATGCCATTCGTGGCATGCGGGTTTTTTGGG</t>
  </si>
  <si>
    <t>L1U5H06</t>
  </si>
  <si>
    <t>TCGGTTACATGTTCGCATGTAACCGATTTATTGTC</t>
  </si>
  <si>
    <t>L1U1H06</t>
  </si>
  <si>
    <t>TCGGTTACATGTTCGCATGTAACCGATTTTTTTTT</t>
  </si>
  <si>
    <t>L1U5H05</t>
  </si>
  <si>
    <t>CGACGATACCATTCGTGGTATCGTCGTTTATTGTC</t>
  </si>
  <si>
    <t>L1U8H12</t>
  </si>
  <si>
    <t>CGACGTTCGCGTCGTTAAAATAA</t>
  </si>
  <si>
    <t>L2U6H04</t>
  </si>
  <si>
    <t>GCCGGAGCGGTAACCACCTGCTCCGGCTTTTTTGTA</t>
  </si>
  <si>
    <t>L2U6H11</t>
  </si>
  <si>
    <t>TAGCGTGCTAACCACGCACGCTATTTTTTGTA</t>
  </si>
  <si>
    <t>L2U2H10</t>
  </si>
  <si>
    <t>GGGCGGTCCGCAGATCGCCCTTTTTTGTA</t>
  </si>
  <si>
    <t>L2U6H10</t>
  </si>
  <si>
    <t>GGGCGGTCTAACCACGATCGCCCTTTTTTGTA</t>
  </si>
  <si>
    <t>L2U2H07</t>
  </si>
  <si>
    <t>AGGCCTCCCCGCAGGGGGGCCTTTTTTTGTA</t>
  </si>
  <si>
    <t>L2U4H06</t>
  </si>
  <si>
    <t>CTAAAGCGCCCGCAGGCGCTTTAGTTTTGCAAC</t>
  </si>
  <si>
    <t>L2U1H05</t>
  </si>
  <si>
    <t>GCCGGATCGGAGATCTGATCCGGCTTTTTTTTT</t>
  </si>
  <si>
    <t>L1U1H01</t>
  </si>
  <si>
    <t>TCGGTTACCGCTTCGGCGGTAACCGATTTTTTTTT</t>
  </si>
  <si>
    <t>L1U5H10</t>
  </si>
  <si>
    <t>CGACGATATTCGTATCGTCGTTTATTGTC</t>
  </si>
  <si>
    <t>L1U2H08</t>
  </si>
  <si>
    <t>CCCGCATGTTCGCATGCGGGTTTTTTGGG</t>
  </si>
  <si>
    <t>L1U2H05</t>
  </si>
  <si>
    <t>CGACGATACCATTCGTGGTATCGTCGTTTTTTGGG</t>
  </si>
  <si>
    <t>L2U2H08</t>
  </si>
  <si>
    <t>TGCCGGGACGCATCCCGGCATTTTTTGTA</t>
  </si>
  <si>
    <t>L2U3H07</t>
  </si>
  <si>
    <t>AGGCCTCCCCGCAGGGGGGCCTTTTGTTGAG</t>
  </si>
  <si>
    <t>L2U6H08</t>
  </si>
  <si>
    <t>TGCCGGGATAACCACTCCCGGCATTTTTTGTA</t>
  </si>
  <si>
    <t>L2U6H05</t>
  </si>
  <si>
    <t>GCCGGATCGGTAACCACCTGATCCGGCTTTTTTGTA</t>
  </si>
  <si>
    <t>L1U3H03</t>
  </si>
  <si>
    <t>GATCCAGCCCATTCGTGGGCTGGATCTTTTGTTGG</t>
  </si>
  <si>
    <t>L2U1H03</t>
  </si>
  <si>
    <t>TAGCGTGACCGGAGATTCGGTCACGCTATTTTTTTTT</t>
  </si>
  <si>
    <t>L1U2H09</t>
  </si>
  <si>
    <t>CGACGATGTTCGCATCGTCGTTTTTTGGG</t>
  </si>
  <si>
    <t>L1U5H12</t>
  </si>
  <si>
    <t>CGACGTTCGCGTCGTTTATTGTC</t>
  </si>
  <si>
    <t>L1U1H04</t>
  </si>
  <si>
    <t>CGACGATGCCATTCGTGGCATCGTCGTTTTTTTTT</t>
  </si>
  <si>
    <t>L1U3H02</t>
  </si>
  <si>
    <t>CCCGCATGCCATTCGTGGCATGCGGGTTTTGTTGG</t>
  </si>
  <si>
    <t>L1U2H06</t>
  </si>
  <si>
    <t>TCGGTTACATGTTCGCATGTAACCGATTTTTTGGG</t>
  </si>
  <si>
    <t>L2U7H05</t>
  </si>
  <si>
    <t>GCCGGATCGGGAACACTGATCCGGCTTTTGCAAC</t>
  </si>
  <si>
    <t>L1U1H02</t>
  </si>
  <si>
    <t>CCCGCATGCCATTCGTGGCATGCGGGTTTTTTTTT</t>
  </si>
  <si>
    <t>L1U2H10</t>
  </si>
  <si>
    <t>CGACGATATTCGTATCGTCGTTTTTTGGG</t>
  </si>
  <si>
    <t>L2U7H12</t>
  </si>
  <si>
    <t>CGCCCGCGAACAGCGGGCGTTTTGCAAC</t>
  </si>
  <si>
    <t>L1U1H05</t>
  </si>
  <si>
    <t>CGACGATACCATTCGTGGTATCGTCGTTTTTTTTT</t>
  </si>
  <si>
    <t>L1U3H04</t>
  </si>
  <si>
    <t>CGACGATGCCATTCGTGGCATCGTCGTTTTGTTGG</t>
  </si>
  <si>
    <t>L1U3H05</t>
  </si>
  <si>
    <t>CGACGATACCATTCGTGGTATCGTCGTTTTGTTGG</t>
  </si>
  <si>
    <t>L2U3H12</t>
  </si>
  <si>
    <t>CGCCCGCCGCAGCGGGCGTTTGTTGAG</t>
  </si>
  <si>
    <t>L2U2H04</t>
  </si>
  <si>
    <t>GCCGGAGCGGCGCACTGCTCCGGCTTTTTTGTA</t>
  </si>
  <si>
    <t>L1U3H06</t>
  </si>
  <si>
    <t>TCGGTTACATGTTCGCATGTAACCGATTTTGTTGG</t>
  </si>
  <si>
    <t>L1U3H11</t>
  </si>
  <si>
    <t>CCCGCTTCGGCGGGTTTTGTTGG</t>
  </si>
  <si>
    <t>L1U3H08</t>
  </si>
  <si>
    <t>CCCGCATGTTCGCATGCGGGTTTTGTTGG</t>
  </si>
  <si>
    <t>L1U1H10</t>
  </si>
  <si>
    <t>CGACGATATTCGTATCGTCGTTTTTTTTT</t>
  </si>
  <si>
    <t>L2U4H07</t>
  </si>
  <si>
    <t>AGGCCTCCCCGCAGGGGGGCCTTTTTGCAAC</t>
  </si>
  <si>
    <t>L2U7H08</t>
  </si>
  <si>
    <t>TGCCGGGAGAACATCCCGGCATTTTGCAAC</t>
  </si>
  <si>
    <t>L2U4H11</t>
  </si>
  <si>
    <t>TAGCGTGCCGCAGCACGCTATTTTGCAAC</t>
  </si>
  <si>
    <t>L2U3H06</t>
  </si>
  <si>
    <t>CTAAAGCGCCCGCAGGCGCTTTAGTTTGTTGAG</t>
  </si>
  <si>
    <t>L2U7H10</t>
  </si>
  <si>
    <t>GGGCGGTCGAACAGATCGCCCTTTTGCAAC</t>
  </si>
  <si>
    <t>L2U8H07</t>
  </si>
  <si>
    <t>AGGCCTCCCTAACCACGGGGGGCCTTTGTTGTAT</t>
  </si>
  <si>
    <t>L1U2H12</t>
  </si>
  <si>
    <t>CGACGTTCGCGTCGTTTTTTGGG</t>
  </si>
  <si>
    <t>L2U2H02</t>
  </si>
  <si>
    <t>CCTGGTAAGACGCCGCAGCGTCTTATCAGGTTTTTTGTA</t>
  </si>
  <si>
    <t>L1U8H03</t>
  </si>
  <si>
    <t>GATCCAGCCCATTCGTGGGCTGGATCTTAAAATAA</t>
  </si>
  <si>
    <t>L2U4H04</t>
  </si>
  <si>
    <t>GCCGGAGCGGCGCACTGCTCCGGCTTTTGCAAC</t>
  </si>
  <si>
    <t>L2U3H11</t>
  </si>
  <si>
    <t>TAGCGTGCCGCAGCACGCTATTTGTTGAG</t>
  </si>
  <si>
    <t>L2U7H02</t>
  </si>
  <si>
    <t>CCTGGTAAGACGCGAACAGCGTCTTATCAGGTTTTGCAAC</t>
  </si>
  <si>
    <t>L1U7H08</t>
  </si>
  <si>
    <t>CCCGCATGTTCGCATGCGGGTTATCAAAA</t>
  </si>
  <si>
    <t>L1U3H09</t>
  </si>
  <si>
    <t>CGACGATGTTCGCATCGTCGTTTTGTTGG</t>
  </si>
  <si>
    <t>L2U2H05</t>
  </si>
  <si>
    <t>GCCGGATCGGCGCACTGATCCGGCTTTTTTGTA</t>
  </si>
  <si>
    <t>L2U4H08</t>
  </si>
  <si>
    <t>TGCCGGGACGCATCCCGGCATTTTGCAAC</t>
  </si>
  <si>
    <t>L2U5H06</t>
  </si>
  <si>
    <t>CTAAAGCGCCGAACAGGCGCTTTAGTTGTTGTAT</t>
  </si>
  <si>
    <t>L2U6H03</t>
  </si>
  <si>
    <t>TAGCGTGACCGGTAACCACTCGGTCACGCTATTTTTTGTA</t>
  </si>
  <si>
    <t>L1U3H12</t>
  </si>
  <si>
    <t>CGACGTTCGCGTCGTTTTGTTGG</t>
  </si>
  <si>
    <t>L2U8H10</t>
  </si>
  <si>
    <t>GGGCGGTCTAACCACGATCGCCCTTGTTGTAT</t>
  </si>
  <si>
    <t>L1U3H10</t>
  </si>
  <si>
    <t>CGACGATATTCGTATCGTCGTTTTGTTGG</t>
  </si>
  <si>
    <t>L2U2H01</t>
  </si>
  <si>
    <t>CCTGGTAAGACGCCGCAGCGTCGCATCAGGTTTTTTGTA</t>
  </si>
  <si>
    <t>L2U8H12</t>
  </si>
  <si>
    <t>CGCCCGCTAACCACGCGGGCGTTGTTGTAT</t>
  </si>
  <si>
    <t>L2U1H02</t>
  </si>
  <si>
    <t>CCTGGTAAGACGCAGATGCGTCTTATCAGGTTTTTTTTT</t>
  </si>
  <si>
    <t>L2U2H03</t>
  </si>
  <si>
    <t>TAGCGTGACCGGCGCATCGGTCACGCTATTTTTTGTA</t>
  </si>
  <si>
    <t>L2U3H04</t>
  </si>
  <si>
    <t>GCCGGAGCGGCGCACTGCTCCGGCTTTGTTGAG</t>
  </si>
  <si>
    <t>L2U3H08</t>
  </si>
  <si>
    <t>TGCCGGGACGCATCCCGGCATTTGTTGAG</t>
  </si>
  <si>
    <t>L2U8H08</t>
  </si>
  <si>
    <t>TGCCGGGATAACCACTCCCGGCATTGTTGTAT</t>
  </si>
  <si>
    <t>L2U4H01</t>
  </si>
  <si>
    <t>CCTGGTAAGACGCCGCAGCGTCGCATCAGGTTTTGCAAC</t>
  </si>
  <si>
    <t>L2U3H03</t>
  </si>
  <si>
    <t>TAGCGTGACCGGCGCATCGGTCACGCTATTTGTTGAG</t>
  </si>
  <si>
    <t>L2U7H11</t>
  </si>
  <si>
    <t>TAGCGTGCGAACAGCACGCTATTTTGCAAC</t>
  </si>
  <si>
    <t>L2U4H03</t>
  </si>
  <si>
    <t>TAGCGTGACCGGCGCATCGGTCACGCTATTTTGCAAC</t>
  </si>
  <si>
    <t>L2U7H04</t>
  </si>
  <si>
    <t>GCCGGAGCGGGAACACTGCTCCGGCTTTTGCAAC</t>
  </si>
  <si>
    <t>L1U8H09</t>
  </si>
  <si>
    <t>CGACGATGTTCGCATCGTCGTTAAAATAA</t>
  </si>
  <si>
    <t>L2U5H05</t>
  </si>
  <si>
    <t>GCCGGATCGGGAACACTGATCCGGCTTGTTGTAT</t>
  </si>
  <si>
    <t>L2U5H10</t>
  </si>
  <si>
    <t>GGGCGGTCGAACAGATCGCCCTTGTTGTAT</t>
  </si>
  <si>
    <t>L2U5H12</t>
  </si>
  <si>
    <t>CGCCCGCGAACAGCGGGCGTTGTTGTAT</t>
  </si>
  <si>
    <t>L1U8H04</t>
  </si>
  <si>
    <t>CGACGATGCCATTCGTGGCATCGTCGTTAAAATAA</t>
  </si>
  <si>
    <t>L1U6H08</t>
  </si>
  <si>
    <t>CCCGCATGTTCGCATGCGGGTTTCAACAA</t>
  </si>
  <si>
    <t>L1U7H01</t>
  </si>
  <si>
    <t>TCGGTTACCGCTTCGGCGGTAACCGATTATCAAAA</t>
  </si>
  <si>
    <t>L2U4H02</t>
  </si>
  <si>
    <t>CCTGGTAAGACGCCGCAGCGTCTTATCAGGTTTTGCAAC</t>
  </si>
  <si>
    <t>L2U3H10</t>
  </si>
  <si>
    <t>GGGCGGTCCGCAGATCGCCCTTTGTTGAG</t>
  </si>
  <si>
    <t>L2U6H01</t>
  </si>
  <si>
    <t>CCTGGTAAGACGCTAACCACGCGTCGCATCAGGTTTTTTGTA</t>
  </si>
  <si>
    <t>L1U7H04</t>
  </si>
  <si>
    <t>CGACGATGCCATTCGTGGCATCGTCGTTATCAAAA</t>
  </si>
  <si>
    <t>L2U3H01</t>
  </si>
  <si>
    <t>CCTGGTAAGACGCCGCAGCGTCGCATCAGGTTTGTTGAG</t>
  </si>
  <si>
    <t>L2U8H02</t>
  </si>
  <si>
    <t>CCTGGTAAGACGCTAACCACGCGTCTTATCAGGTTGTTGTAT</t>
  </si>
  <si>
    <t>L1U7H12</t>
  </si>
  <si>
    <t>CGACGTTCGCGTCGTTATCAAAA</t>
  </si>
  <si>
    <t>L1U8H11</t>
  </si>
  <si>
    <t>CCCGCTTCGGCGGGTTAAAATAA</t>
  </si>
  <si>
    <t>L2U7H03</t>
  </si>
  <si>
    <t>TAGCGTGACCGGGAACATCGGTCACGCTATTTTGCAAC</t>
  </si>
  <si>
    <t>L1U8H05</t>
  </si>
  <si>
    <t>CGACGATACCATTCGTGGTATCGTCGTTAAAATAA</t>
  </si>
  <si>
    <t>L2U5H02</t>
  </si>
  <si>
    <t>CCTGGTAAGACGCGAACAGCGTCTTATCAGGTTGTTGTAT</t>
  </si>
  <si>
    <t>L1U6H02</t>
  </si>
  <si>
    <t>CCCGCATGCCATTCGTGGCATGCGGGTTTCAACAA</t>
  </si>
  <si>
    <t>L2U1H01</t>
  </si>
  <si>
    <t>CCTGGTAAGACGCAGATGCGTCGCATCAGGTTTTTTTTT</t>
  </si>
  <si>
    <t>L2U5H04</t>
  </si>
  <si>
    <t>GCCGGAGCGGGAACACTGCTCCGGCTTGTTGTAT</t>
  </si>
  <si>
    <t>L2U3H05</t>
  </si>
  <si>
    <t>GCCGGATCGGCGCACTGATCCGGCTTTGTTGAG</t>
  </si>
  <si>
    <t>L1U7H03</t>
  </si>
  <si>
    <t>GATCCAGCCCATTCGTGGGCTGGATCTTATCAAAA</t>
  </si>
  <si>
    <t>L1U6H04</t>
  </si>
  <si>
    <t>CGACGATGCCATTCGTGGCATCGTCGTTTCAACAA</t>
  </si>
  <si>
    <t>L2U5H08</t>
  </si>
  <si>
    <t>TGCCGGGAGAACATCCCGGCATTGTTGTAT</t>
  </si>
  <si>
    <t>L2U4H05</t>
  </si>
  <si>
    <t>GCCGGATCGGCGCACTGATCCGGCTTTTGCAAC</t>
  </si>
  <si>
    <t>L1U6H01</t>
  </si>
  <si>
    <t>TCGGTTACCGCTTCGGCGGTAACCGATTTCAACAA</t>
  </si>
  <si>
    <t>L1U7H07</t>
  </si>
  <si>
    <t>GATCCAGCTTCGGCTGGATCTTATCAAAA</t>
  </si>
  <si>
    <t>L1U8H07</t>
  </si>
  <si>
    <t>GATCCAGCTTCGGCTGGATCTTAAAATAA</t>
  </si>
  <si>
    <t>L1U6H07</t>
  </si>
  <si>
    <t>GATCCAGCTTCGGCTGGATCTTTCAACAA</t>
  </si>
  <si>
    <t>L1U7H06</t>
  </si>
  <si>
    <t>TCGGTTACATGTTCGCATGTAACCGATTATCAAAA</t>
  </si>
  <si>
    <t>L1U1H12</t>
  </si>
  <si>
    <t>CGACGTTCGCGTCGTTTTTTTTT</t>
  </si>
  <si>
    <t>L2U3H02</t>
  </si>
  <si>
    <t>CCTGGTAAGACGCCGCAGCGTCTTATCAGGTTTGTTGAG</t>
  </si>
  <si>
    <t>L2U5H09</t>
  </si>
  <si>
    <t>ACGGCCCTGAACAAGGGCCGTTTGTTGTAT</t>
  </si>
  <si>
    <t>L1U8H08</t>
  </si>
  <si>
    <t>CCCGCATGTTCGCATGCGGGTTAAAATAA</t>
  </si>
  <si>
    <t>L1U8H10</t>
  </si>
  <si>
    <t>CGACGATATTCGTATCGTCGTTAAAATAA</t>
  </si>
  <si>
    <t>L1U7H09</t>
  </si>
  <si>
    <t>CGACGATGTTCGCATCGTCGTTATCAAAA</t>
  </si>
  <si>
    <t>L1U6H12</t>
  </si>
  <si>
    <t>CGACGTTCGCGTCGTTTCAACAA</t>
  </si>
  <si>
    <t>L2U5H07</t>
  </si>
  <si>
    <t>AGGCCTCCCGAACAGGGGGGCCTTTGTTGTAT</t>
  </si>
  <si>
    <t>L1U7H05</t>
  </si>
  <si>
    <t>CGACGATACCATTCGTGGTATCGTCGTTATCAAAA</t>
  </si>
  <si>
    <t>L1U8H02</t>
  </si>
  <si>
    <t>CCCGCATGCCATTCGTGGCATGCGGGTTAAAATAA</t>
  </si>
  <si>
    <t>L2U6H02</t>
  </si>
  <si>
    <t>CCTGGTAAGACGCTAACCACGCGTCTTATCAGGTTTTTTGTA</t>
  </si>
  <si>
    <t>L1U8H06</t>
  </si>
  <si>
    <t>TCGGTTACATGTTCGCATGTAACCGATTAAAATAA</t>
  </si>
  <si>
    <t>L2U8H05</t>
  </si>
  <si>
    <t>GCCGGATCGGTAACCACCTGATCCGGCTTGTTGTAT</t>
  </si>
  <si>
    <t>L1U7H02</t>
  </si>
  <si>
    <t>CCCGCATGCCATTCGTGGCATGCGGGTTATCAAAA</t>
  </si>
  <si>
    <t>L1U8H01</t>
  </si>
  <si>
    <t>TCGGTTACCGCTTCGGCGGTAACCGATTAAAATAA</t>
  </si>
  <si>
    <t>L1U7H11</t>
  </si>
  <si>
    <t>CCCGCTTCGGCGGGTTATCAAAA</t>
  </si>
  <si>
    <t>L1U6H11</t>
  </si>
  <si>
    <t>CCCGCTTCGGCGGGTTTCAACAA</t>
  </si>
  <si>
    <t>L1U6H06</t>
  </si>
  <si>
    <t>TCGGTTACATGTTCGCATGTAACCGATTTCAACAA</t>
  </si>
  <si>
    <t>L1U7H10</t>
  </si>
  <si>
    <t>CGACGATATTCGTATCGTCGTTATCAAAA</t>
  </si>
  <si>
    <t>L2U8H09</t>
  </si>
  <si>
    <t>ACGGCCCTTAACCACAGGGCCGTTTGTTGTAT</t>
  </si>
  <si>
    <t>L2U7H01</t>
  </si>
  <si>
    <t>CCTGGTAAGACGCGAACAGCGTCGCATCAGGTTTTGCAAC</t>
  </si>
  <si>
    <t>L2U8H01</t>
  </si>
  <si>
    <t>CCTGGTAAGACGCTAACCACGCGTCGCATCAGGTTGTTGTAT</t>
  </si>
  <si>
    <t>L1U6H09</t>
  </si>
  <si>
    <t>CGACGATGTTCGCATCGTCGTTTCAACAA</t>
  </si>
  <si>
    <t>L1U6H05</t>
  </si>
  <si>
    <t>CGACGATACCATTCGTGGTATCGTCGTTTCAACAA</t>
  </si>
  <si>
    <t>L1U6H03</t>
  </si>
  <si>
    <t>GATCCAGCCCATTCGTGGGCTGGATCTTTCAACAA</t>
  </si>
  <si>
    <t>L2U5H03</t>
  </si>
  <si>
    <t>TAGCGTGACCGGGAACATCGGTCACGCTATTGTTGTAT</t>
  </si>
  <si>
    <t>L2U8H04</t>
  </si>
  <si>
    <t>GCCGGAGCGGTAACCACCTGCTCCGGCTTGTTGTAT</t>
  </si>
  <si>
    <t>L2U5H01</t>
  </si>
  <si>
    <t>CCTGGTAAGACGCGAACAGCGTCGCATCAGGTTGTTGTAT</t>
  </si>
  <si>
    <t>L2U8H03</t>
  </si>
  <si>
    <t>TAGCGTGACCGGTAACCACTCGGTCACGCTATTGTTGTAT</t>
  </si>
  <si>
    <t>L1U6H10</t>
  </si>
  <si>
    <t>CGACGATATTCGTATCGTCGTTTCAACAA</t>
  </si>
  <si>
    <t>L2U8H11</t>
  </si>
  <si>
    <t>TAGCGTGCTAACCACGCACGCTATTGTTGTAT</t>
  </si>
  <si>
    <t>L2U8H06</t>
  </si>
  <si>
    <t>CTAAAGCGCCTAACCACGGCGCTTTAGTTGTTGTAT</t>
  </si>
  <si>
    <t>L2U5H11</t>
  </si>
  <si>
    <t>TAGCGTGCGAACAGCACGCTATTGTTGTAT</t>
  </si>
  <si>
    <t>Name</t>
  </si>
  <si>
    <t>Sequence</t>
  </si>
  <si>
    <t>Average Uninduced GFP</t>
  </si>
  <si>
    <t>Average Induced GFP</t>
  </si>
  <si>
    <t>Average Uninduced RFP</t>
  </si>
  <si>
    <t>Average Induced RFP</t>
  </si>
  <si>
    <t>Average GFP/RFP</t>
  </si>
  <si>
    <t>Average Strength</t>
  </si>
  <si>
    <t>Standard Deviation of Uninduced GFP</t>
  </si>
  <si>
    <t>Standard Deviation of Induced GFP</t>
  </si>
  <si>
    <t>Standard Deviation of Uninduced RFP</t>
  </si>
  <si>
    <t>Standard Deviation of Induced RFP</t>
  </si>
  <si>
    <t>Standard Deviation of GFP/RFP</t>
  </si>
  <si>
    <t>Standard Deviation of Strength</t>
  </si>
  <si>
    <t>A-tract</t>
  </si>
  <si>
    <t>Hairpin</t>
  </si>
  <si>
    <t>Structure</t>
  </si>
  <si>
    <t>Loop</t>
  </si>
  <si>
    <t>U-tract</t>
  </si>
  <si>
    <t>Predicted TS</t>
  </si>
  <si>
    <t>GACGCUGAAAAGCGUC</t>
  </si>
  <si>
    <t>GAAA</t>
  </si>
  <si>
    <t>CGAAAAAA</t>
  </si>
  <si>
    <t>UUAUUGAA</t>
  </si>
  <si>
    <t>GACGCUAAAUCAGCGUC</t>
  </si>
  <si>
    <t>AAAUC</t>
  </si>
  <si>
    <t>AGAAAAGA</t>
  </si>
  <si>
    <t>GGCCUCCCAAAUCGGGGGGCC</t>
  </si>
  <si>
    <t>AACAAUAA</t>
  </si>
  <si>
    <t>GGCCUCCCUAACGGGGGGCC</t>
  </si>
  <si>
    <t>UAAC</t>
  </si>
  <si>
    <t>CACCCUAACGGGUG</t>
  </si>
  <si>
    <t>AAAAAAAA</t>
  </si>
  <si>
    <t>GACGCUUAACAGCGUC</t>
  </si>
  <si>
    <t>GCGGCUAACGCCGC</t>
  </si>
  <si>
    <t>ACUAAAAA</t>
  </si>
  <si>
    <t>GCGGCAAAUCGCCGC</t>
  </si>
  <si>
    <t>GGCCUCCCGAAAGGGGGGCC</t>
  </si>
  <si>
    <t>CACCCAAAUCGGGUG</t>
  </si>
  <si>
    <t>GGCCUCCCUUUAGGGGGGGCC</t>
  </si>
  <si>
    <t>UUA</t>
  </si>
  <si>
    <t>GCGUGACCGGUAACCACUCGGUCACGC</t>
  </si>
  <si>
    <t>UAACCAC</t>
  </si>
  <si>
    <t>GAAUUCUA</t>
  </si>
  <si>
    <t>((((((....))))))</t>
  </si>
  <si>
    <t>((((((((.....))))))))</t>
  </si>
  <si>
    <t>AAAAGAGA</t>
  </si>
  <si>
    <t>CGCUUUUAGAGCG</t>
  </si>
  <si>
    <t>(((((...)))))</t>
  </si>
  <si>
    <t>((((((((....))))))))</t>
  </si>
  <si>
    <t>GGCCGCAAAUCGCGGCC</t>
  </si>
  <si>
    <t>((((((.....))))))</t>
  </si>
  <si>
    <t>GGCCUCCCUUCGGGGGGGCC</t>
  </si>
  <si>
    <t>UUCG</t>
  </si>
  <si>
    <t>GGGGAGCGGGAAACCGCUCCCC</t>
  </si>
  <si>
    <t>(((((((((....)))))))))</t>
  </si>
  <si>
    <t>(((((....)))))</t>
  </si>
  <si>
    <t>AAGAAUUC</t>
  </si>
  <si>
    <t>GGGCGGUCAGAUGAUCGCCC</t>
  </si>
  <si>
    <t>AGAU</t>
  </si>
  <si>
    <t>CCCGCUUCGGCGGG</t>
  </si>
  <si>
    <t>CCCGCAUGCCAUUCGUGGCAUGCGGG</t>
  </si>
  <si>
    <t>(((((((((((....)))))))))))</t>
  </si>
  <si>
    <t>CCCGCAUGUUCGCAUGCGGG</t>
  </si>
  <si>
    <t>UCGGUUACCGCUUCGGCGGUAACCGA</t>
  </si>
  <si>
    <t>UCGGUUACAUGUUCGCAUGUAACCGA</t>
  </si>
  <si>
    <t>UGCCGGGAAGAUUCCCGGCA</t>
  </si>
  <si>
    <t>CGCCCGCAGAUGCGGGCG</t>
  </si>
  <si>
    <t>(((((((....)))))))</t>
  </si>
  <si>
    <t>CGACGAUGCCAUUCGUGGCAUCGUCG</t>
  </si>
  <si>
    <t>CGACGAUGUUCGCAUCGUCG</t>
  </si>
  <si>
    <t>CGACGAUACCAUUCGUGGUAUCGUCG</t>
  </si>
  <si>
    <t>CUAAAGCGCCUAACCACGGCGCUUUAG</t>
  </si>
  <si>
    <t>((((((((((.......))))))))))</t>
  </si>
  <si>
    <t>CUAAAGCGCCAGAUGGCGCUUUAG</t>
  </si>
  <si>
    <t>((((((((((....))))))))))</t>
  </si>
  <si>
    <t>CUAAAGCGCCCGCAGGCGCUUUAG</t>
  </si>
  <si>
    <t>CGCA</t>
  </si>
  <si>
    <t>GAUCCAGCUUCGGCUGGAUC</t>
  </si>
  <si>
    <t>CGACGUUCGCGUCG</t>
  </si>
  <si>
    <t>CGACGAUAUUCGUAUCGUCG</t>
  </si>
  <si>
    <t>UAGCGUGCAGAUGCACGCUA</t>
  </si>
  <si>
    <t>GCCGGAGCGGAGAUCUGCUCCGGC</t>
  </si>
  <si>
    <t>CGCCCGCUAACCACGCGGGCG</t>
  </si>
  <si>
    <t>(((((((.......)))))))</t>
  </si>
  <si>
    <t>CGCCCGCCGCAGCGGGCG</t>
  </si>
  <si>
    <t>GCCGGAGCGGUAACCACCUGCUCCGGC</t>
  </si>
  <si>
    <t>(((((((((((....))).))))))))</t>
  </si>
  <si>
    <t>AACC</t>
  </si>
  <si>
    <t>GGGCGGUCCGCAGAUCGCCC</t>
  </si>
  <si>
    <t>GGGCGGUCUAACCACGAUCGCCC</t>
  </si>
  <si>
    <t>((((((((.......))))))))</t>
  </si>
  <si>
    <t>GCCGGAUCGGAGAUCUGAUCCGGC</t>
  </si>
  <si>
    <t>UGCCGGGACGCAUCCCGGCA</t>
  </si>
  <si>
    <t>UGCCGGGAUAACCACUCCCGGCA</t>
  </si>
  <si>
    <t>GCCGGAUCGGUAACCACCUGAUCCGGC</t>
  </si>
  <si>
    <t>GAUCCAGCCCAUUCGUGGGCUGGAUC</t>
  </si>
  <si>
    <t>UAGCGUGACCGGAGAUUCGGUCACGCUA</t>
  </si>
  <si>
    <t>((((((((((((....))))))))))))</t>
  </si>
  <si>
    <t>GCCGGAUCGGGAACACUGAUCCGGC</t>
  </si>
  <si>
    <t>((((((((((.....))))))))))</t>
  </si>
  <si>
    <t>GAACA</t>
  </si>
  <si>
    <t>CGCCCGCGAACAGCGGGCG</t>
  </si>
  <si>
    <t>(((((((.....)))))))</t>
  </si>
  <si>
    <t>GCCGGAGCGGCGCACUGCUCCGGC</t>
  </si>
  <si>
    <t>UGCCGGGAGAACAUCCCGGCA</t>
  </si>
  <si>
    <t>GGGCGGUCGAACAGAUCGCCC</t>
  </si>
  <si>
    <t>CCUGGUAAGACGCCGCAGCGUCUUAUCAGG</t>
  </si>
  <si>
    <t>(((((((((((((....)))))))))))))</t>
  </si>
  <si>
    <t>CCUGGUAAGACGCGAACAGCGUCUUAUCAGG</t>
  </si>
  <si>
    <t>(((((((((((((.....)))))))))))))</t>
  </si>
  <si>
    <t>GCCGGAUCGGCGCACUGAUCCGGC</t>
  </si>
  <si>
    <t>CCUGGUAAGACGCCGCAGCGUCGCAUCAGG</t>
  </si>
  <si>
    <t>((((((..(((((....)))))..))))))</t>
  </si>
  <si>
    <t>CCUGGUAAGACGCAGAUGCGUCUUAUCAGG</t>
  </si>
  <si>
    <t>AAUUCCGA</t>
  </si>
  <si>
    <t>CGAUGCCAUUCGUGGCAUCG</t>
  </si>
  <si>
    <t>CGAUACCAUUCGUGGUAUCG</t>
  </si>
  <si>
    <t>CGAUAUUCGUAUCG</t>
  </si>
  <si>
    <t>CGAUGUUCGCAUCG</t>
  </si>
  <si>
    <t>GACGCUUUCGAGCGUC</t>
  </si>
  <si>
    <t>CACCCGAAAGGGUG</t>
  </si>
  <si>
    <t>AGAAUUCA</t>
  </si>
  <si>
    <t>CGGCCCUAGAUAGGGCCG</t>
  </si>
  <si>
    <t>GGCCUCCCAGAUGGGGGGCC</t>
  </si>
  <si>
    <t>CGGCCCUCGCAAGGGCCG</t>
  </si>
  <si>
    <t>CGGCCCUUAACCACAGGGCCG</t>
  </si>
  <si>
    <t>GGCCUCCCUAACCACGGGGGGCC</t>
  </si>
  <si>
    <t>CGGCCCUGAACAAGGGCCG</t>
  </si>
  <si>
    <t>GGCCUCCCCGCAGGGGGGCC</t>
  </si>
  <si>
    <t>AGAAUUCC</t>
  </si>
  <si>
    <t>GCCCGCCGCAGCGGGC</t>
  </si>
  <si>
    <t>GACGUUCGCGUC</t>
  </si>
  <si>
    <t>((((....))))</t>
  </si>
  <si>
    <t>GAAUUCGA</t>
  </si>
  <si>
    <t>UCCAGCUUCGGCUGGA</t>
  </si>
  <si>
    <t>UCCAGCCCAUUCGUGGGCUGGA</t>
  </si>
  <si>
    <t>GCGUGCCGCAGCACGC</t>
  </si>
  <si>
    <t>GCGUGACCGGCGCAUCGGUCACGC</t>
  </si>
  <si>
    <t>GGCCGCUAACGCGGCC</t>
  </si>
  <si>
    <t>CACCCUUCGGGGUG</t>
  </si>
  <si>
    <t>(((((.....)))))</t>
  </si>
  <si>
    <t>CACCCUUUAGGGGUG</t>
  </si>
  <si>
    <t>((((((...))))))</t>
  </si>
  <si>
    <t>UUCCUAAA</t>
  </si>
  <si>
    <t>GCGCCGAACAGGCGC</t>
  </si>
  <si>
    <t>GCGCCCGCAGGCGC</t>
  </si>
  <si>
    <t>GCCGGAGCGGGAACACUGCUCCGGC</t>
  </si>
  <si>
    <t>CCUGGUAAGACGCUAACCACGCGUCGCAUCAGG</t>
  </si>
  <si>
    <t>((((((..(((((.......)))))..))))))</t>
  </si>
  <si>
    <t>CCUGGUAAGACGCUAACCACGCGUCUUAUCAGG</t>
  </si>
  <si>
    <t>(((((((((((((.......)))))))))))))</t>
  </si>
  <si>
    <t>CCUGGUAAGACGCAGAUGCGUCGCAUCAGG</t>
  </si>
  <si>
    <t>CCUGGUAAGACGCGAACAGCGUCGCAUCAGG</t>
  </si>
  <si>
    <t>((((((..(((((.....)))))..))))))</t>
  </si>
  <si>
    <t>GGCCGCGAAAGCGGCC</t>
  </si>
  <si>
    <t>GGCCUCCCGAACAGGGGGGCC</t>
  </si>
  <si>
    <t>GCGUGCUAACCACGCACGC</t>
  </si>
  <si>
    <t>((((((.......))))))</t>
  </si>
  <si>
    <t>GCGUGCGAACAGCACGC</t>
  </si>
  <si>
    <t>GCGUGACCGGGAACAUCGGUCACGC</t>
  </si>
  <si>
    <t>GGAUCGGC</t>
  </si>
  <si>
    <t>GCACUGAUCCGGCUUUUGC</t>
  </si>
  <si>
    <t>(((.............)))</t>
  </si>
  <si>
    <t>CUGAUCCGGCUUU</t>
  </si>
  <si>
    <t>GCGCCUAACCACGGCGC</t>
  </si>
  <si>
    <t>(((((.......)))))</t>
  </si>
  <si>
    <t>(((((((((...)))))))))</t>
  </si>
  <si>
    <t>UUUUUUAUUGAU</t>
  </si>
  <si>
    <t>UAUUUUUUGUAA</t>
  </si>
  <si>
    <t>UUUUUUUUUUUU</t>
  </si>
  <si>
    <t>UUUUUUUGUUUC</t>
  </si>
  <si>
    <t>UUUUUUCGUUUU</t>
  </si>
  <si>
    <t>UUUUUAUUUUUC</t>
  </si>
  <si>
    <t>UUUUUUUAUAGC</t>
  </si>
  <si>
    <t>UUUUUUCUUUUC</t>
  </si>
  <si>
    <t>UCUUUUUUCGUU</t>
  </si>
  <si>
    <t>UUUUUUUUUACU</t>
  </si>
  <si>
    <t>UUUUUUUUUUAC</t>
  </si>
  <si>
    <t>UUUUCUCUGACU</t>
  </si>
  <si>
    <t>UCUUUUCUCUGA</t>
  </si>
  <si>
    <t>UUUUUUGUAACU</t>
  </si>
  <si>
    <t>UUUUUUUGUAAC</t>
  </si>
  <si>
    <t>UUUUUGCAACAC</t>
  </si>
  <si>
    <t>UCUUUUUUGGGA</t>
  </si>
  <si>
    <t>UCUUUAUUGUCA</t>
  </si>
  <si>
    <t>UUUUGUUGGACU</t>
  </si>
  <si>
    <t>UUUAGUUUUGCA</t>
  </si>
  <si>
    <t>UUUAUUGUCACU</t>
  </si>
  <si>
    <t>UUUUUUGGGACU</t>
  </si>
  <si>
    <t>UCGUUUUUUGGG</t>
  </si>
  <si>
    <t>UUUUGCAACACU</t>
  </si>
  <si>
    <t>UUUUGUUGAGAC</t>
  </si>
  <si>
    <t>UUAAAAUAAACU</t>
  </si>
  <si>
    <t>UCGUUUUGUUGG</t>
  </si>
  <si>
    <t>GUUUGUUGAGAC</t>
  </si>
  <si>
    <t>UAUUUUGCAACA</t>
  </si>
  <si>
    <t>UUUAGUUUGUUG</t>
  </si>
  <si>
    <t>UUUGUUGUAUAC</t>
  </si>
  <si>
    <t>GUUUUUUGGGAC</t>
  </si>
  <si>
    <t>UAUUUGUUGAGA</t>
  </si>
  <si>
    <t>UUAUCAAAAACU</t>
  </si>
  <si>
    <t>UUUAGUUGUUGU</t>
  </si>
  <si>
    <t>GUUUUGUUGGAC</t>
  </si>
  <si>
    <t>UUGUUGUAUACU</t>
  </si>
  <si>
    <t>UUUGUUGAGACU</t>
  </si>
  <si>
    <t>UUUCAACAAACU</t>
  </si>
  <si>
    <t>AACACUAGUAGC</t>
  </si>
  <si>
    <t>UCUUUCAACAAA</t>
  </si>
  <si>
    <t>UAUUGUUGUAUA</t>
  </si>
  <si>
    <t>Scaffold 1</t>
  </si>
  <si>
    <t/>
  </si>
  <si>
    <t>X</t>
  </si>
  <si>
    <t>∆GU</t>
  </si>
  <si>
    <t>∆GL</t>
  </si>
  <si>
    <t>∆GH</t>
  </si>
  <si>
    <t>∆GA</t>
  </si>
  <si>
    <t>∆GB</t>
  </si>
  <si>
    <t>AAUAAAAA</t>
  </si>
  <si>
    <t>Recombination-resistant strong terminators</t>
  </si>
  <si>
    <t>Recombination-resistant medium terminators</t>
  </si>
  <si>
    <t>Terminator strength with 95% confidence intervals</t>
  </si>
  <si>
    <t>Replicates (n)</t>
  </si>
  <si>
    <t>Confidence level</t>
  </si>
  <si>
    <t>t multiplier</t>
  </si>
  <si>
    <t>Rank</t>
  </si>
  <si>
    <t>Terminator</t>
  </si>
  <si>
    <t>Strength</t>
  </si>
  <si>
    <t>SD</t>
  </si>
  <si>
    <t>CI half-width</t>
  </si>
  <si>
    <t>Lower 95%</t>
  </si>
  <si>
    <t>Upper 95%</t>
  </si>
  <si>
    <t>Lower (plot floor)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</si>
</sst>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2" fontId="3" fillId="0" borderId="1" xfId="0" applyNumberFormat="1" applyFont="1" applyBorder="1" applyAlignment="1">
      <alignment horizontal="left"/>
    </xf>
    <xf numFmtId="2" fontId="3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9" fontId="2" fillId="0" borderId="0" xfId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9" fontId="10" fillId="0" borderId="0" xfId="0" applyNumberFormat="1" applyFont="1"/>
    <xf numFmtId="164" fontId="0" fillId="0" borderId="0" xfId="0" applyNumberFormat="1"/>
    <xf numFmtId="0" fontId="2" fillId="2" borderId="0" xfId="0" applyFont="1" applyFill="1"/>
  </cellXfs>
  <cellStyles count="6"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Terminator strength ± 95% CI (n=3), ranked weakest → strongest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'Strength CI'!$J$7</c:f>
              <c:strCache>
                <c:ptCount val="1"/>
                <c:pt idx="0">
                  <c:v>Lower 95%</c:v>
                </c:pt>
              </c:strCache>
            </c:strRef>
          </c:tx>
          <c:spPr>
            <a:ln w="12700" cap="rnd">
              <a:solidFill>
                <a:srgbClr val="9DC3E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'Strength CI'!$I$8:$I$272</c:f>
              <c:numCache>
                <c:formatCode>General</c:formatCode>
                <c:ptCount val="2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</c:numCache>
            </c:numRef>
          </c:xVal>
          <c:yVal>
            <c:numRef>
              <c:f>'Strength CI'!$J$8:$J$272</c:f>
              <c:numCache>
                <c:formatCode>0.000</c:formatCode>
                <c:ptCount val="265"/>
                <c:pt idx="0">
                  <c:v>0.24028728183540321</c:v>
                </c:pt>
                <c:pt idx="1">
                  <c:v>4.1674122585715782E-2</c:v>
                </c:pt>
                <c:pt idx="2">
                  <c:v>5.0268775772564486E-2</c:v>
                </c:pt>
                <c:pt idx="3">
                  <c:v>0.24602910657361449</c:v>
                </c:pt>
                <c:pt idx="4">
                  <c:v>0.30609256004943453</c:v>
                </c:pt>
                <c:pt idx="5">
                  <c:v>0.42141408660086249</c:v>
                </c:pt>
                <c:pt idx="6">
                  <c:v>0.28981166227904992</c:v>
                </c:pt>
                <c:pt idx="7">
                  <c:v>0.534258360876945</c:v>
                </c:pt>
                <c:pt idx="8">
                  <c:v>0.25719678972058146</c:v>
                </c:pt>
                <c:pt idx="9">
                  <c:v>0.2709653427171419</c:v>
                </c:pt>
                <c:pt idx="10">
                  <c:v>0.44420944910472637</c:v>
                </c:pt>
                <c:pt idx="11">
                  <c:v>0.18008637739735051</c:v>
                </c:pt>
                <c:pt idx="12">
                  <c:v>9.6417988407017985E-2</c:v>
                </c:pt>
                <c:pt idx="13">
                  <c:v>0.10005560542234559</c:v>
                </c:pt>
                <c:pt idx="14">
                  <c:v>0.50198997353954111</c:v>
                </c:pt>
                <c:pt idx="15">
                  <c:v>0.21669039108611815</c:v>
                </c:pt>
                <c:pt idx="16">
                  <c:v>0.22180556280281133</c:v>
                </c:pt>
                <c:pt idx="17">
                  <c:v>0.56991898736168034</c:v>
                </c:pt>
                <c:pt idx="18">
                  <c:v>0.45843134694981164</c:v>
                </c:pt>
                <c:pt idx="19">
                  <c:v>0.19932082547395397</c:v>
                </c:pt>
                <c:pt idx="20">
                  <c:v>0.11090263942748191</c:v>
                </c:pt>
                <c:pt idx="21">
                  <c:v>0.25916710492582185</c:v>
                </c:pt>
                <c:pt idx="22">
                  <c:v>0.66319971952787182</c:v>
                </c:pt>
                <c:pt idx="23">
                  <c:v>0.32290670058382998</c:v>
                </c:pt>
                <c:pt idx="24">
                  <c:v>0.35007078124251223</c:v>
                </c:pt>
                <c:pt idx="25">
                  <c:v>0.45519456452361889</c:v>
                </c:pt>
                <c:pt idx="26">
                  <c:v>0.43441396578035679</c:v>
                </c:pt>
                <c:pt idx="27">
                  <c:v>0.38327710717673225</c:v>
                </c:pt>
                <c:pt idx="28">
                  <c:v>0.37038237413735481</c:v>
                </c:pt>
                <c:pt idx="29">
                  <c:v>0.4241952019342779</c:v>
                </c:pt>
                <c:pt idx="30">
                  <c:v>0.49763281335574228</c:v>
                </c:pt>
                <c:pt idx="31">
                  <c:v>0.33070668086317168</c:v>
                </c:pt>
                <c:pt idx="32">
                  <c:v>0.56090930775390779</c:v>
                </c:pt>
                <c:pt idx="33">
                  <c:v>0.4515482121030906</c:v>
                </c:pt>
                <c:pt idx="34">
                  <c:v>0.38242456440816242</c:v>
                </c:pt>
                <c:pt idx="35">
                  <c:v>0.45688538545287116</c:v>
                </c:pt>
                <c:pt idx="36">
                  <c:v>0.43006557348201252</c:v>
                </c:pt>
                <c:pt idx="37">
                  <c:v>0.37208580911969513</c:v>
                </c:pt>
                <c:pt idx="38">
                  <c:v>0.43453217052495474</c:v>
                </c:pt>
                <c:pt idx="39">
                  <c:v>0.52476046447918057</c:v>
                </c:pt>
                <c:pt idx="40">
                  <c:v>7.7458985482641698E-2</c:v>
                </c:pt>
                <c:pt idx="41">
                  <c:v>0.45010100691901106</c:v>
                </c:pt>
                <c:pt idx="42">
                  <c:v>7.9370969013931175E-2</c:v>
                </c:pt>
                <c:pt idx="43">
                  <c:v>0.73841344129958109</c:v>
                </c:pt>
                <c:pt idx="44">
                  <c:v>8.0851374260875186E-2</c:v>
                </c:pt>
                <c:pt idx="45">
                  <c:v>8.1462922806708804E-2</c:v>
                </c:pt>
                <c:pt idx="46">
                  <c:v>0.4860333794461576</c:v>
                </c:pt>
                <c:pt idx="47">
                  <c:v>0.45831405139967485</c:v>
                </c:pt>
                <c:pt idx="48">
                  <c:v>0.52625777822181741</c:v>
                </c:pt>
                <c:pt idx="49">
                  <c:v>0.77589303458130943</c:v>
                </c:pt>
                <c:pt idx="50">
                  <c:v>0.17557946104795374</c:v>
                </c:pt>
                <c:pt idx="51">
                  <c:v>0.5740762911700279</c:v>
                </c:pt>
                <c:pt idx="52">
                  <c:v>0.45803767920725375</c:v>
                </c:pt>
                <c:pt idx="53">
                  <c:v>0.69973491655555842</c:v>
                </c:pt>
                <c:pt idx="54">
                  <c:v>8.6504289840506732E-2</c:v>
                </c:pt>
                <c:pt idx="55">
                  <c:v>8.6989994250270181E-2</c:v>
                </c:pt>
                <c:pt idx="56">
                  <c:v>0.56417002311385134</c:v>
                </c:pt>
                <c:pt idx="57">
                  <c:v>0.72443306875155433</c:v>
                </c:pt>
                <c:pt idx="58">
                  <c:v>9.1449594741974033E-2</c:v>
                </c:pt>
                <c:pt idx="59">
                  <c:v>0.67778262171203629</c:v>
                </c:pt>
                <c:pt idx="60">
                  <c:v>0.87568186772372136</c:v>
                </c:pt>
                <c:pt idx="61">
                  <c:v>0.7745162928232181</c:v>
                </c:pt>
                <c:pt idx="62">
                  <c:v>0.74718120829299173</c:v>
                </c:pt>
                <c:pt idx="63">
                  <c:v>0.57052423049589318</c:v>
                </c:pt>
                <c:pt idx="64">
                  <c:v>0.63262323660805775</c:v>
                </c:pt>
                <c:pt idx="65">
                  <c:v>9.859247856254319E-2</c:v>
                </c:pt>
                <c:pt idx="66">
                  <c:v>0.27312095255868152</c:v>
                </c:pt>
                <c:pt idx="67">
                  <c:v>0.1003529191791063</c:v>
                </c:pt>
                <c:pt idx="68">
                  <c:v>0.10186320113179295</c:v>
                </c:pt>
                <c:pt idx="69">
                  <c:v>0.38335923726349408</c:v>
                </c:pt>
                <c:pt idx="70">
                  <c:v>0.10508215695919884</c:v>
                </c:pt>
                <c:pt idx="71">
                  <c:v>0.48563048559901756</c:v>
                </c:pt>
                <c:pt idx="72">
                  <c:v>0.10853042255351326</c:v>
                </c:pt>
                <c:pt idx="73">
                  <c:v>0.38709123315810812</c:v>
                </c:pt>
                <c:pt idx="74">
                  <c:v>0.87067638319587082</c:v>
                </c:pt>
                <c:pt idx="75">
                  <c:v>0.10950173931383275</c:v>
                </c:pt>
                <c:pt idx="76">
                  <c:v>0.63606840517950813</c:v>
                </c:pt>
                <c:pt idx="77">
                  <c:v>0.45175352608880681</c:v>
                </c:pt>
                <c:pt idx="78">
                  <c:v>0.90853627495796652</c:v>
                </c:pt>
                <c:pt idx="79">
                  <c:v>0.6270355762156713</c:v>
                </c:pt>
                <c:pt idx="80">
                  <c:v>1.1171209917370308</c:v>
                </c:pt>
                <c:pt idx="81">
                  <c:v>0.11795640946050538</c:v>
                </c:pt>
                <c:pt idx="82">
                  <c:v>0.11805612341396518</c:v>
                </c:pt>
                <c:pt idx="83">
                  <c:v>0.51938586119548324</c:v>
                </c:pt>
                <c:pt idx="84">
                  <c:v>0.12185805697830936</c:v>
                </c:pt>
                <c:pt idx="85">
                  <c:v>0.12331863790353088</c:v>
                </c:pt>
                <c:pt idx="86">
                  <c:v>0.12398625406444334</c:v>
                </c:pt>
                <c:pt idx="87">
                  <c:v>0.12513819218316535</c:v>
                </c:pt>
                <c:pt idx="88">
                  <c:v>0.1256727908695795</c:v>
                </c:pt>
                <c:pt idx="89">
                  <c:v>0.12587695533719262</c:v>
                </c:pt>
                <c:pt idx="90">
                  <c:v>0.85562399508317011</c:v>
                </c:pt>
                <c:pt idx="91">
                  <c:v>0.22282782459112904</c:v>
                </c:pt>
                <c:pt idx="92">
                  <c:v>0.13002174449358833</c:v>
                </c:pt>
                <c:pt idx="93">
                  <c:v>0.13075492490054699</c:v>
                </c:pt>
                <c:pt idx="94">
                  <c:v>0.13351083791195295</c:v>
                </c:pt>
                <c:pt idx="95">
                  <c:v>0.35237397472676268</c:v>
                </c:pt>
                <c:pt idx="96">
                  <c:v>0.30613457002093125</c:v>
                </c:pt>
                <c:pt idx="97">
                  <c:v>1.1405684252739701</c:v>
                </c:pt>
                <c:pt idx="98">
                  <c:v>1.0408860101474606</c:v>
                </c:pt>
                <c:pt idx="99">
                  <c:v>1.4674897984297175</c:v>
                </c:pt>
                <c:pt idx="100">
                  <c:v>1.1269230279505822</c:v>
                </c:pt>
                <c:pt idx="101">
                  <c:v>0.15755959691867172</c:v>
                </c:pt>
                <c:pt idx="102">
                  <c:v>0.15949750684501754</c:v>
                </c:pt>
                <c:pt idx="103">
                  <c:v>1.4743936002044167</c:v>
                </c:pt>
                <c:pt idx="104">
                  <c:v>1.6235142985741389</c:v>
                </c:pt>
                <c:pt idx="105">
                  <c:v>1.6897352258367864</c:v>
                </c:pt>
                <c:pt idx="106">
                  <c:v>0.16961653399961321</c:v>
                </c:pt>
                <c:pt idx="107">
                  <c:v>1.1911485932028412</c:v>
                </c:pt>
                <c:pt idx="108">
                  <c:v>1.0893754468477774</c:v>
                </c:pt>
                <c:pt idx="109">
                  <c:v>0.17240306848529341</c:v>
                </c:pt>
                <c:pt idx="110">
                  <c:v>1.2632779657675866</c:v>
                </c:pt>
                <c:pt idx="111">
                  <c:v>1.5269675347220504</c:v>
                </c:pt>
                <c:pt idx="112">
                  <c:v>1.3201532894927595</c:v>
                </c:pt>
                <c:pt idx="113">
                  <c:v>1.1259959392589654</c:v>
                </c:pt>
                <c:pt idx="114">
                  <c:v>1.751460618479191</c:v>
                </c:pt>
                <c:pt idx="115">
                  <c:v>0.17546734503165248</c:v>
                </c:pt>
                <c:pt idx="116">
                  <c:v>1.5808761780528546</c:v>
                </c:pt>
                <c:pt idx="117">
                  <c:v>1.0250245629955437</c:v>
                </c:pt>
                <c:pt idx="118">
                  <c:v>0.18560491086307168</c:v>
                </c:pt>
                <c:pt idx="119">
                  <c:v>0.18830804407045637</c:v>
                </c:pt>
                <c:pt idx="120">
                  <c:v>0.18947900621960106</c:v>
                </c:pt>
                <c:pt idx="121">
                  <c:v>1.4296942789492928</c:v>
                </c:pt>
                <c:pt idx="122">
                  <c:v>0.91087643039969923</c:v>
                </c:pt>
                <c:pt idx="123">
                  <c:v>0.65607508914214363</c:v>
                </c:pt>
                <c:pt idx="124">
                  <c:v>1.7648889508415271</c:v>
                </c:pt>
                <c:pt idx="125">
                  <c:v>0.36510839208882917</c:v>
                </c:pt>
                <c:pt idx="126">
                  <c:v>0.20128114648821796</c:v>
                </c:pt>
                <c:pt idx="127">
                  <c:v>0.20452015063002493</c:v>
                </c:pt>
                <c:pt idx="128">
                  <c:v>0.21182448780630631</c:v>
                </c:pt>
                <c:pt idx="129">
                  <c:v>0.21243378469492957</c:v>
                </c:pt>
                <c:pt idx="130">
                  <c:v>0.21251281126165544</c:v>
                </c:pt>
                <c:pt idx="131">
                  <c:v>0.76280859196539219</c:v>
                </c:pt>
                <c:pt idx="132">
                  <c:v>0.94718628838046071</c:v>
                </c:pt>
                <c:pt idx="133">
                  <c:v>1.6409406874544425</c:v>
                </c:pt>
                <c:pt idx="134">
                  <c:v>2.0151998745279074</c:v>
                </c:pt>
                <c:pt idx="135">
                  <c:v>1.2871399288861389</c:v>
                </c:pt>
                <c:pt idx="136">
                  <c:v>0.852272826049286</c:v>
                </c:pt>
                <c:pt idx="137">
                  <c:v>2.3241908910460545</c:v>
                </c:pt>
                <c:pt idx="138">
                  <c:v>0.23367598999608558</c:v>
                </c:pt>
                <c:pt idx="139">
                  <c:v>1.1856624535063036</c:v>
                </c:pt>
                <c:pt idx="140">
                  <c:v>0.23492463349629755</c:v>
                </c:pt>
                <c:pt idx="141">
                  <c:v>2.3613702944186024</c:v>
                </c:pt>
                <c:pt idx="142">
                  <c:v>0.58230263129747906</c:v>
                </c:pt>
                <c:pt idx="143">
                  <c:v>0.24168784817710715</c:v>
                </c:pt>
                <c:pt idx="144">
                  <c:v>0.24309608739453764</c:v>
                </c:pt>
                <c:pt idx="145">
                  <c:v>2.3968428155093044</c:v>
                </c:pt>
                <c:pt idx="146">
                  <c:v>1.5432424388471633</c:v>
                </c:pt>
                <c:pt idx="147">
                  <c:v>0.2569344700905512</c:v>
                </c:pt>
                <c:pt idx="148">
                  <c:v>1.7072948839912003</c:v>
                </c:pt>
                <c:pt idx="149">
                  <c:v>0.26124639297842628</c:v>
                </c:pt>
                <c:pt idx="150">
                  <c:v>1.2390429566966894</c:v>
                </c:pt>
                <c:pt idx="151">
                  <c:v>1.6226068611686055</c:v>
                </c:pt>
                <c:pt idx="152">
                  <c:v>2.7090360478190036</c:v>
                </c:pt>
                <c:pt idx="153">
                  <c:v>1.8073649621882801</c:v>
                </c:pt>
                <c:pt idx="154">
                  <c:v>0.27978274559990868</c:v>
                </c:pt>
                <c:pt idx="155">
                  <c:v>0.28181534794106222</c:v>
                </c:pt>
                <c:pt idx="156">
                  <c:v>2.1989749298680792</c:v>
                </c:pt>
                <c:pt idx="157">
                  <c:v>0.77269758621764506</c:v>
                </c:pt>
                <c:pt idx="158">
                  <c:v>0.56019325421570665</c:v>
                </c:pt>
                <c:pt idx="159">
                  <c:v>1.6486067595699256</c:v>
                </c:pt>
                <c:pt idx="160">
                  <c:v>1.8654359497303155</c:v>
                </c:pt>
                <c:pt idx="161">
                  <c:v>0.32841715592652232</c:v>
                </c:pt>
                <c:pt idx="162">
                  <c:v>3.3350153098998696</c:v>
                </c:pt>
                <c:pt idx="163">
                  <c:v>1.0647419799259037</c:v>
                </c:pt>
                <c:pt idx="164">
                  <c:v>1.8368978932368298</c:v>
                </c:pt>
                <c:pt idx="165">
                  <c:v>2.0852997761326919</c:v>
                </c:pt>
                <c:pt idx="166">
                  <c:v>0.45220343617922731</c:v>
                </c:pt>
                <c:pt idx="167">
                  <c:v>2.9737459406416606</c:v>
                </c:pt>
                <c:pt idx="168">
                  <c:v>3.4012159185142092</c:v>
                </c:pt>
                <c:pt idx="169">
                  <c:v>0.48608550287630603</c:v>
                </c:pt>
                <c:pt idx="170">
                  <c:v>0.53768784144317772</c:v>
                </c:pt>
                <c:pt idx="171">
                  <c:v>0.55393912041622506</c:v>
                </c:pt>
                <c:pt idx="172">
                  <c:v>0.57668801766329381</c:v>
                </c:pt>
                <c:pt idx="173">
                  <c:v>4.7634170717012463</c:v>
                </c:pt>
                <c:pt idx="174">
                  <c:v>5.2095227316692583</c:v>
                </c:pt>
                <c:pt idx="175">
                  <c:v>3.5263783184332227</c:v>
                </c:pt>
                <c:pt idx="176">
                  <c:v>0.76115996826087806</c:v>
                </c:pt>
                <c:pt idx="177">
                  <c:v>3.7446210575088372</c:v>
                </c:pt>
                <c:pt idx="178">
                  <c:v>5.3859572473536694</c:v>
                </c:pt>
                <c:pt idx="179">
                  <c:v>0.84291414771903028</c:v>
                </c:pt>
                <c:pt idx="180">
                  <c:v>4.6345307749201998</c:v>
                </c:pt>
                <c:pt idx="181">
                  <c:v>6.2470632007324891</c:v>
                </c:pt>
                <c:pt idx="182">
                  <c:v>4.5428056124549752</c:v>
                </c:pt>
                <c:pt idx="183">
                  <c:v>6.4080261358786412</c:v>
                </c:pt>
                <c:pt idx="184">
                  <c:v>0.99115662490233503</c:v>
                </c:pt>
                <c:pt idx="185">
                  <c:v>8.3066209815377903</c:v>
                </c:pt>
                <c:pt idx="186">
                  <c:v>1.389538000207823</c:v>
                </c:pt>
                <c:pt idx="187">
                  <c:v>1.4065605354171786</c:v>
                </c:pt>
                <c:pt idx="188">
                  <c:v>2.5406665489170859</c:v>
                </c:pt>
                <c:pt idx="189">
                  <c:v>12.851093693082138</c:v>
                </c:pt>
                <c:pt idx="190">
                  <c:v>8.683793037561232</c:v>
                </c:pt>
                <c:pt idx="191">
                  <c:v>20.76498193446572</c:v>
                </c:pt>
                <c:pt idx="192">
                  <c:v>23.752780353170778</c:v>
                </c:pt>
                <c:pt idx="193">
                  <c:v>15.330356626845109</c:v>
                </c:pt>
                <c:pt idx="194">
                  <c:v>20.191424187877672</c:v>
                </c:pt>
                <c:pt idx="195">
                  <c:v>5.1717662159088107</c:v>
                </c:pt>
                <c:pt idx="196">
                  <c:v>2.9968838881382687</c:v>
                </c:pt>
                <c:pt idx="197">
                  <c:v>26.384886187434642</c:v>
                </c:pt>
                <c:pt idx="198">
                  <c:v>30.089171449949383</c:v>
                </c:pt>
                <c:pt idx="199">
                  <c:v>32.947211124910446</c:v>
                </c:pt>
                <c:pt idx="200">
                  <c:v>28.988660239642368</c:v>
                </c:pt>
                <c:pt idx="201">
                  <c:v>36.409439891190516</c:v>
                </c:pt>
                <c:pt idx="202">
                  <c:v>41.503316493023547</c:v>
                </c:pt>
                <c:pt idx="203">
                  <c:v>24.395585969480155</c:v>
                </c:pt>
                <c:pt idx="204">
                  <c:v>22.319453287707962</c:v>
                </c:pt>
                <c:pt idx="205">
                  <c:v>5.3889973344933146</c:v>
                </c:pt>
                <c:pt idx="206">
                  <c:v>17.851227682404748</c:v>
                </c:pt>
                <c:pt idx="207">
                  <c:v>61.330273414315677</c:v>
                </c:pt>
                <c:pt idx="208">
                  <c:v>36.932667048576604</c:v>
                </c:pt>
                <c:pt idx="209">
                  <c:v>65.954773869346738</c:v>
                </c:pt>
                <c:pt idx="210">
                  <c:v>46.824159027278284</c:v>
                </c:pt>
                <c:pt idx="211">
                  <c:v>40.460318456113399</c:v>
                </c:pt>
                <c:pt idx="212">
                  <c:v>50.006208971534036</c:v>
                </c:pt>
                <c:pt idx="213">
                  <c:v>63.472264463615822</c:v>
                </c:pt>
                <c:pt idx="214">
                  <c:v>54.212917651376578</c:v>
                </c:pt>
                <c:pt idx="215">
                  <c:v>45.231097137001839</c:v>
                </c:pt>
                <c:pt idx="216">
                  <c:v>57.20514292876895</c:v>
                </c:pt>
                <c:pt idx="217">
                  <c:v>50.415570498094731</c:v>
                </c:pt>
                <c:pt idx="218">
                  <c:v>31.151817163026458</c:v>
                </c:pt>
                <c:pt idx="219">
                  <c:v>67.927824581449215</c:v>
                </c:pt>
                <c:pt idx="220">
                  <c:v>92.443348819569536</c:v>
                </c:pt>
                <c:pt idx="221">
                  <c:v>48.338386057613171</c:v>
                </c:pt>
                <c:pt idx="222">
                  <c:v>9.519985794479263</c:v>
                </c:pt>
                <c:pt idx="223">
                  <c:v>9.5496677244186383</c:v>
                </c:pt>
                <c:pt idx="224">
                  <c:v>12.354708560816093</c:v>
                </c:pt>
                <c:pt idx="225">
                  <c:v>69.270985013133796</c:v>
                </c:pt>
                <c:pt idx="226">
                  <c:v>69.578555563565686</c:v>
                </c:pt>
                <c:pt idx="227">
                  <c:v>64.363049158671188</c:v>
                </c:pt>
                <c:pt idx="228">
                  <c:v>43.964384377601348</c:v>
                </c:pt>
                <c:pt idx="229">
                  <c:v>62.005417831551995</c:v>
                </c:pt>
                <c:pt idx="230">
                  <c:v>85.281479492736921</c:v>
                </c:pt>
                <c:pt idx="231">
                  <c:v>74.130756660939596</c:v>
                </c:pt>
                <c:pt idx="232">
                  <c:v>21.831264170566897</c:v>
                </c:pt>
                <c:pt idx="233">
                  <c:v>14.608332339408401</c:v>
                </c:pt>
                <c:pt idx="234">
                  <c:v>130.98346772483742</c:v>
                </c:pt>
                <c:pt idx="235">
                  <c:v>109.32264893646152</c:v>
                </c:pt>
                <c:pt idx="236">
                  <c:v>116.60520316684119</c:v>
                </c:pt>
                <c:pt idx="237">
                  <c:v>146.55735624585128</c:v>
                </c:pt>
                <c:pt idx="238">
                  <c:v>65.969679353213067</c:v>
                </c:pt>
                <c:pt idx="239">
                  <c:v>133.06569750631306</c:v>
                </c:pt>
                <c:pt idx="240">
                  <c:v>16.818058198986524</c:v>
                </c:pt>
                <c:pt idx="241">
                  <c:v>17.259865991714211</c:v>
                </c:pt>
                <c:pt idx="242">
                  <c:v>40.91906525242257</c:v>
                </c:pt>
                <c:pt idx="243">
                  <c:v>121.10046018447099</c:v>
                </c:pt>
                <c:pt idx="244">
                  <c:v>141.17060035187689</c:v>
                </c:pt>
                <c:pt idx="245">
                  <c:v>190.518273320688</c:v>
                </c:pt>
                <c:pt idx="246">
                  <c:v>149.02842576945915</c:v>
                </c:pt>
                <c:pt idx="247">
                  <c:v>182.64351692702655</c:v>
                </c:pt>
                <c:pt idx="248">
                  <c:v>161.91839542151592</c:v>
                </c:pt>
                <c:pt idx="249">
                  <c:v>117.68577520123726</c:v>
                </c:pt>
                <c:pt idx="250">
                  <c:v>23.672274366820236</c:v>
                </c:pt>
                <c:pt idx="251">
                  <c:v>24.478885142298882</c:v>
                </c:pt>
                <c:pt idx="252">
                  <c:v>128.25394164962864</c:v>
                </c:pt>
                <c:pt idx="253">
                  <c:v>194.41060395463367</c:v>
                </c:pt>
                <c:pt idx="254">
                  <c:v>125.68450319733236</c:v>
                </c:pt>
                <c:pt idx="255">
                  <c:v>167.22598023933438</c:v>
                </c:pt>
                <c:pt idx="256">
                  <c:v>27.094721255178719</c:v>
                </c:pt>
                <c:pt idx="257">
                  <c:v>165.68332537635115</c:v>
                </c:pt>
                <c:pt idx="258">
                  <c:v>208.52039249600551</c:v>
                </c:pt>
                <c:pt idx="259">
                  <c:v>161.84150040891899</c:v>
                </c:pt>
                <c:pt idx="260">
                  <c:v>240.09320811315465</c:v>
                </c:pt>
                <c:pt idx="261">
                  <c:v>284.82375066999413</c:v>
                </c:pt>
                <c:pt idx="262">
                  <c:v>280.72319420301159</c:v>
                </c:pt>
                <c:pt idx="263">
                  <c:v>345.98255344347973</c:v>
                </c:pt>
                <c:pt idx="264">
                  <c:v>336.36214558393976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E3-4488-AA8B-5E84B2F94E4A}"/>
            </c:ext>
          </c:extLst>
        </c:ser>
        <c:ser>
          <c:idx val="1"/>
          <c:order val="1"/>
          <c:tx>
            <c:strRef>
              <c:f>'Strength CI'!$K$7</c:f>
              <c:strCache>
                <c:ptCount val="1"/>
                <c:pt idx="0">
                  <c:v>Strength</c:v>
                </c:pt>
              </c:strCache>
            </c:strRef>
          </c:tx>
          <c:spPr>
            <a:ln w="28575" cap="rnd">
              <a:solidFill>
                <a:srgbClr val="1F386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'Strength CI'!$I$8:$I$272</c:f>
              <c:numCache>
                <c:formatCode>General</c:formatCode>
                <c:ptCount val="2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</c:numCache>
            </c:numRef>
          </c:xVal>
          <c:yVal>
            <c:numRef>
              <c:f>'Strength CI'!$K$8:$K$272</c:f>
              <c:numCache>
                <c:formatCode>0.000</c:formatCode>
                <c:ptCount val="265"/>
                <c:pt idx="0">
                  <c:v>0.32634551553186503</c:v>
                </c:pt>
                <c:pt idx="1">
                  <c:v>0.41674122585715784</c:v>
                </c:pt>
                <c:pt idx="2">
                  <c:v>0.50268775772564489</c:v>
                </c:pt>
                <c:pt idx="3">
                  <c:v>0.54809905430517003</c:v>
                </c:pt>
                <c:pt idx="4">
                  <c:v>0.55028740436082535</c:v>
                </c:pt>
                <c:pt idx="5">
                  <c:v>0.55499238513913873</c:v>
                </c:pt>
                <c:pt idx="6">
                  <c:v>0.55899383317601847</c:v>
                </c:pt>
                <c:pt idx="7">
                  <c:v>0.58171528476849577</c:v>
                </c:pt>
                <c:pt idx="8">
                  <c:v>0.58229818013763157</c:v>
                </c:pt>
                <c:pt idx="9">
                  <c:v>0.58485939133462828</c:v>
                </c:pt>
                <c:pt idx="10">
                  <c:v>0.59296851310144594</c:v>
                </c:pt>
                <c:pt idx="11">
                  <c:v>0.60562379272188294</c:v>
                </c:pt>
                <c:pt idx="12">
                  <c:v>0.6070701845704487</c:v>
                </c:pt>
                <c:pt idx="13">
                  <c:v>0.61869333043001762</c:v>
                </c:pt>
                <c:pt idx="14">
                  <c:v>0.62456300416122756</c:v>
                </c:pt>
                <c:pt idx="15">
                  <c:v>0.62650044713130781</c:v>
                </c:pt>
                <c:pt idx="16">
                  <c:v>0.62746415818583834</c:v>
                </c:pt>
                <c:pt idx="17">
                  <c:v>0.63719040132490889</c:v>
                </c:pt>
                <c:pt idx="18">
                  <c:v>0.64391250830329816</c:v>
                </c:pt>
                <c:pt idx="19">
                  <c:v>0.65190796538519813</c:v>
                </c:pt>
                <c:pt idx="20">
                  <c:v>0.65437990968802473</c:v>
                </c:pt>
                <c:pt idx="21">
                  <c:v>0.66232334798771675</c:v>
                </c:pt>
                <c:pt idx="22">
                  <c:v>0.66319971952787182</c:v>
                </c:pt>
                <c:pt idx="23">
                  <c:v>0.66400705410329242</c:v>
                </c:pt>
                <c:pt idx="24">
                  <c:v>0.6832529763381493</c:v>
                </c:pt>
                <c:pt idx="25">
                  <c:v>0.69771572116361646</c:v>
                </c:pt>
                <c:pt idx="26">
                  <c:v>0.70229000204687453</c:v>
                </c:pt>
                <c:pt idx="27">
                  <c:v>0.70491466118728796</c:v>
                </c:pt>
                <c:pt idx="28">
                  <c:v>0.70656813171596489</c:v>
                </c:pt>
                <c:pt idx="29">
                  <c:v>0.70726899101540852</c:v>
                </c:pt>
                <c:pt idx="30">
                  <c:v>0.70874700847274386</c:v>
                </c:pt>
                <c:pt idx="31">
                  <c:v>0.71204605351377537</c:v>
                </c:pt>
                <c:pt idx="32">
                  <c:v>0.72420244953875301</c:v>
                </c:pt>
                <c:pt idx="33">
                  <c:v>0.73816051974203933</c:v>
                </c:pt>
                <c:pt idx="34">
                  <c:v>0.74371163163667131</c:v>
                </c:pt>
                <c:pt idx="35">
                  <c:v>0.74409887891098814</c:v>
                </c:pt>
                <c:pt idx="36">
                  <c:v>0.75005547132879158</c:v>
                </c:pt>
                <c:pt idx="37">
                  <c:v>0.75055102931263606</c:v>
                </c:pt>
                <c:pt idx="38">
                  <c:v>0.75316749277081352</c:v>
                </c:pt>
                <c:pt idx="39">
                  <c:v>0.75588287999579273</c:v>
                </c:pt>
                <c:pt idx="40">
                  <c:v>0.77458985482641696</c:v>
                </c:pt>
                <c:pt idx="41">
                  <c:v>0.77681013422989753</c:v>
                </c:pt>
                <c:pt idx="42">
                  <c:v>0.7937096901393117</c:v>
                </c:pt>
                <c:pt idx="43">
                  <c:v>0.79697638498499213</c:v>
                </c:pt>
                <c:pt idx="44">
                  <c:v>0.80851374260875186</c:v>
                </c:pt>
                <c:pt idx="45">
                  <c:v>0.81462922806708804</c:v>
                </c:pt>
                <c:pt idx="46">
                  <c:v>0.82317720342508827</c:v>
                </c:pt>
                <c:pt idx="47">
                  <c:v>0.82931321902764255</c:v>
                </c:pt>
                <c:pt idx="48">
                  <c:v>0.83298846127977499</c:v>
                </c:pt>
                <c:pt idx="49">
                  <c:v>0.84117219482544525</c:v>
                </c:pt>
                <c:pt idx="50">
                  <c:v>0.84401515258914273</c:v>
                </c:pt>
                <c:pt idx="51">
                  <c:v>0.84635361355510863</c:v>
                </c:pt>
                <c:pt idx="52">
                  <c:v>0.84759043473419615</c:v>
                </c:pt>
                <c:pt idx="53">
                  <c:v>0.84777674134187353</c:v>
                </c:pt>
                <c:pt idx="54">
                  <c:v>0.86504289840506732</c:v>
                </c:pt>
                <c:pt idx="55">
                  <c:v>0.86989994250270186</c:v>
                </c:pt>
                <c:pt idx="56">
                  <c:v>0.87437813320119384</c:v>
                </c:pt>
                <c:pt idx="57">
                  <c:v>0.88678455085217833</c:v>
                </c:pt>
                <c:pt idx="58">
                  <c:v>0.91449594741974027</c:v>
                </c:pt>
                <c:pt idx="59">
                  <c:v>0.92613218494982452</c:v>
                </c:pt>
                <c:pt idx="60">
                  <c:v>0.93111358464052796</c:v>
                </c:pt>
                <c:pt idx="61">
                  <c:v>0.94992810214524204</c:v>
                </c:pt>
                <c:pt idx="62">
                  <c:v>0.96225825959506894</c:v>
                </c:pt>
                <c:pt idx="63">
                  <c:v>0.96268185800414063</c:v>
                </c:pt>
                <c:pt idx="64">
                  <c:v>0.97620924306438162</c:v>
                </c:pt>
                <c:pt idx="65">
                  <c:v>0.98592478562543195</c:v>
                </c:pt>
                <c:pt idx="66">
                  <c:v>0.98868561851400938</c:v>
                </c:pt>
                <c:pt idx="67">
                  <c:v>1.0035291917910629</c:v>
                </c:pt>
                <c:pt idx="68">
                  <c:v>1.0186320113179295</c:v>
                </c:pt>
                <c:pt idx="69">
                  <c:v>1.0336978549840496</c:v>
                </c:pt>
                <c:pt idx="70">
                  <c:v>1.0508215695919885</c:v>
                </c:pt>
                <c:pt idx="71">
                  <c:v>1.0525640005668604</c:v>
                </c:pt>
                <c:pt idx="72">
                  <c:v>1.0853042255351326</c:v>
                </c:pt>
                <c:pt idx="73">
                  <c:v>1.0902416799620789</c:v>
                </c:pt>
                <c:pt idx="74">
                  <c:v>1.0949799299592791</c:v>
                </c:pt>
                <c:pt idx="75">
                  <c:v>1.0950173931383276</c:v>
                </c:pt>
                <c:pt idx="76">
                  <c:v>1.1163018690774322</c:v>
                </c:pt>
                <c:pt idx="77">
                  <c:v>1.1170503102029139</c:v>
                </c:pt>
                <c:pt idx="78">
                  <c:v>1.1516407121734802</c:v>
                </c:pt>
                <c:pt idx="79">
                  <c:v>1.1602857488998506</c:v>
                </c:pt>
                <c:pt idx="80">
                  <c:v>1.1718650552400349</c:v>
                </c:pt>
                <c:pt idx="81">
                  <c:v>1.1795640946050538</c:v>
                </c:pt>
                <c:pt idx="82">
                  <c:v>1.1805612341396519</c:v>
                </c:pt>
                <c:pt idx="83">
                  <c:v>1.2102793793468489</c:v>
                </c:pt>
                <c:pt idx="84">
                  <c:v>1.2185805697830936</c:v>
                </c:pt>
                <c:pt idx="85">
                  <c:v>1.2331863790353088</c:v>
                </c:pt>
                <c:pt idx="86">
                  <c:v>1.2398625406444335</c:v>
                </c:pt>
                <c:pt idx="87">
                  <c:v>1.2513819218316535</c:v>
                </c:pt>
                <c:pt idx="88">
                  <c:v>1.256727908695795</c:v>
                </c:pt>
                <c:pt idx="89">
                  <c:v>1.2587695533719263</c:v>
                </c:pt>
                <c:pt idx="90">
                  <c:v>1.2911523590108116</c:v>
                </c:pt>
                <c:pt idx="91">
                  <c:v>1.2960503986497927</c:v>
                </c:pt>
                <c:pt idx="92">
                  <c:v>1.3002174449358832</c:v>
                </c:pt>
                <c:pt idx="93">
                  <c:v>1.3075492490054699</c:v>
                </c:pt>
                <c:pt idx="94">
                  <c:v>1.3351083791195295</c:v>
                </c:pt>
                <c:pt idx="95">
                  <c:v>1.390968224921366</c:v>
                </c:pt>
                <c:pt idx="96">
                  <c:v>1.4107024752693347</c:v>
                </c:pt>
                <c:pt idx="97">
                  <c:v>1.4572345906036535</c:v>
                </c:pt>
                <c:pt idx="98">
                  <c:v>1.4689500846291945</c:v>
                </c:pt>
                <c:pt idx="99">
                  <c:v>1.4979562715171491</c:v>
                </c:pt>
                <c:pt idx="100">
                  <c:v>1.5522803335990469</c:v>
                </c:pt>
                <c:pt idx="101">
                  <c:v>1.5755959691867172</c:v>
                </c:pt>
                <c:pt idx="102">
                  <c:v>1.5949750684501753</c:v>
                </c:pt>
                <c:pt idx="103">
                  <c:v>1.638959685062551</c:v>
                </c:pt>
                <c:pt idx="104">
                  <c:v>1.6486892986286048</c:v>
                </c:pt>
                <c:pt idx="105">
                  <c:v>1.6897352258367864</c:v>
                </c:pt>
                <c:pt idx="106">
                  <c:v>1.6961653399961321</c:v>
                </c:pt>
                <c:pt idx="107">
                  <c:v>1.6982112846581519</c:v>
                </c:pt>
                <c:pt idx="108">
                  <c:v>1.7157896135718496</c:v>
                </c:pt>
                <c:pt idx="109">
                  <c:v>1.7240306848529341</c:v>
                </c:pt>
                <c:pt idx="110">
                  <c:v>1.7302401487879389</c:v>
                </c:pt>
                <c:pt idx="111">
                  <c:v>1.732686528435309</c:v>
                </c:pt>
                <c:pt idx="112">
                  <c:v>1.734798475737072</c:v>
                </c:pt>
                <c:pt idx="113">
                  <c:v>1.7405129663416277</c:v>
                </c:pt>
                <c:pt idx="114">
                  <c:v>1.751460618479191</c:v>
                </c:pt>
                <c:pt idx="115">
                  <c:v>1.7546734503165249</c:v>
                </c:pt>
                <c:pt idx="116">
                  <c:v>1.7807391199655063</c:v>
                </c:pt>
                <c:pt idx="117">
                  <c:v>1.8403884492640026</c:v>
                </c:pt>
                <c:pt idx="118">
                  <c:v>1.8560491086307167</c:v>
                </c:pt>
                <c:pt idx="119">
                  <c:v>1.8830804407045636</c:v>
                </c:pt>
                <c:pt idx="120">
                  <c:v>1.8947900621960105</c:v>
                </c:pt>
                <c:pt idx="121">
                  <c:v>1.9686696698296196</c:v>
                </c:pt>
                <c:pt idx="122">
                  <c:v>1.9703116836642922</c:v>
                </c:pt>
                <c:pt idx="123">
                  <c:v>1.977301944896475</c:v>
                </c:pt>
                <c:pt idx="124">
                  <c:v>1.9901236809053611</c:v>
                </c:pt>
                <c:pt idx="125">
                  <c:v>2.002134608079067</c:v>
                </c:pt>
                <c:pt idx="126">
                  <c:v>2.0128114648821795</c:v>
                </c:pt>
                <c:pt idx="127">
                  <c:v>2.0452015063002493</c:v>
                </c:pt>
                <c:pt idx="128">
                  <c:v>2.1182448780630629</c:v>
                </c:pt>
                <c:pt idx="129">
                  <c:v>2.1243378469492957</c:v>
                </c:pt>
                <c:pt idx="130">
                  <c:v>2.1251281126165544</c:v>
                </c:pt>
                <c:pt idx="131">
                  <c:v>2.1329308999444634</c:v>
                </c:pt>
                <c:pt idx="132">
                  <c:v>2.1343341293051181</c:v>
                </c:pt>
                <c:pt idx="133">
                  <c:v>2.1868885292929225</c:v>
                </c:pt>
                <c:pt idx="134">
                  <c:v>2.2332147587298348</c:v>
                </c:pt>
                <c:pt idx="135">
                  <c:v>2.253157737968674</c:v>
                </c:pt>
                <c:pt idx="136">
                  <c:v>2.2953929658866317</c:v>
                </c:pt>
                <c:pt idx="137">
                  <c:v>2.3241908910460545</c:v>
                </c:pt>
                <c:pt idx="138">
                  <c:v>2.3367598999608559</c:v>
                </c:pt>
                <c:pt idx="139">
                  <c:v>2.337764406501365</c:v>
                </c:pt>
                <c:pt idx="140">
                  <c:v>2.3492463349629755</c:v>
                </c:pt>
                <c:pt idx="141">
                  <c:v>2.3613702944186024</c:v>
                </c:pt>
                <c:pt idx="142">
                  <c:v>2.3707800812309281</c:v>
                </c:pt>
                <c:pt idx="143">
                  <c:v>2.4168784817710716</c:v>
                </c:pt>
                <c:pt idx="144">
                  <c:v>2.4309608739453763</c:v>
                </c:pt>
                <c:pt idx="145">
                  <c:v>2.4863184424932787</c:v>
                </c:pt>
                <c:pt idx="146">
                  <c:v>2.5366162036007278</c:v>
                </c:pt>
                <c:pt idx="147">
                  <c:v>2.5693447009055119</c:v>
                </c:pt>
                <c:pt idx="148">
                  <c:v>2.5788505355524318</c:v>
                </c:pt>
                <c:pt idx="149">
                  <c:v>2.6124639297842629</c:v>
                </c:pt>
                <c:pt idx="150">
                  <c:v>2.6357100866167111</c:v>
                </c:pt>
                <c:pt idx="151">
                  <c:v>2.651169936609322</c:v>
                </c:pt>
                <c:pt idx="152">
                  <c:v>2.7090360478190036</c:v>
                </c:pt>
                <c:pt idx="153">
                  <c:v>2.7512349613127491</c:v>
                </c:pt>
                <c:pt idx="154">
                  <c:v>2.7978274559990868</c:v>
                </c:pt>
                <c:pt idx="155">
                  <c:v>2.8181534794106224</c:v>
                </c:pt>
                <c:pt idx="156">
                  <c:v>2.9135824657592959</c:v>
                </c:pt>
                <c:pt idx="157">
                  <c:v>3.0014545264590304</c:v>
                </c:pt>
                <c:pt idx="158">
                  <c:v>3.0085410634448402</c:v>
                </c:pt>
                <c:pt idx="159">
                  <c:v>3.0104088994450384</c:v>
                </c:pt>
                <c:pt idx="160">
                  <c:v>3.1346450535766524</c:v>
                </c:pt>
                <c:pt idx="161">
                  <c:v>3.2841715592652232</c:v>
                </c:pt>
                <c:pt idx="162">
                  <c:v>3.338250526651235</c:v>
                </c:pt>
                <c:pt idx="163">
                  <c:v>3.638694937794611</c:v>
                </c:pt>
                <c:pt idx="164">
                  <c:v>3.6391264384809401</c:v>
                </c:pt>
                <c:pt idx="165">
                  <c:v>4.127342885215481</c:v>
                </c:pt>
                <c:pt idx="166">
                  <c:v>4.5220343617922731</c:v>
                </c:pt>
                <c:pt idx="167">
                  <c:v>4.5642366958061569</c:v>
                </c:pt>
                <c:pt idx="168">
                  <c:v>4.8001225028257064</c:v>
                </c:pt>
                <c:pt idx="169">
                  <c:v>4.8608550287630603</c:v>
                </c:pt>
                <c:pt idx="170">
                  <c:v>5.3768784144317774</c:v>
                </c:pt>
                <c:pt idx="171">
                  <c:v>5.5393912041622508</c:v>
                </c:pt>
                <c:pt idx="172">
                  <c:v>5.7668801766329381</c:v>
                </c:pt>
                <c:pt idx="173">
                  <c:v>5.8356541642608155</c:v>
                </c:pt>
                <c:pt idx="174">
                  <c:v>6.5732326873711333</c:v>
                </c:pt>
                <c:pt idx="175">
                  <c:v>6.6692134915204679</c:v>
                </c:pt>
                <c:pt idx="176">
                  <c:v>7.6115996826087802</c:v>
                </c:pt>
                <c:pt idx="177">
                  <c:v>7.6870357948391508</c:v>
                </c:pt>
                <c:pt idx="178">
                  <c:v>8.3195937623326266</c:v>
                </c:pt>
                <c:pt idx="179">
                  <c:v>8.4291414771903028</c:v>
                </c:pt>
                <c:pt idx="180">
                  <c:v>9.4176916011078777</c:v>
                </c:pt>
                <c:pt idx="181">
                  <c:v>9.4254971318862193</c:v>
                </c:pt>
                <c:pt idx="182">
                  <c:v>9.4483674874409047</c:v>
                </c:pt>
                <c:pt idx="183">
                  <c:v>9.8690851219219748</c:v>
                </c:pt>
                <c:pt idx="184">
                  <c:v>9.91156624902335</c:v>
                </c:pt>
                <c:pt idx="185">
                  <c:v>10.552919203314035</c:v>
                </c:pt>
                <c:pt idx="186">
                  <c:v>13.201303050911253</c:v>
                </c:pt>
                <c:pt idx="187">
                  <c:v>14.065605354171787</c:v>
                </c:pt>
                <c:pt idx="188">
                  <c:v>17.254737925349843</c:v>
                </c:pt>
                <c:pt idx="189">
                  <c:v>19.405504289851635</c:v>
                </c:pt>
                <c:pt idx="190">
                  <c:v>19.778328134996304</c:v>
                </c:pt>
                <c:pt idx="191">
                  <c:v>20.76498193446572</c:v>
                </c:pt>
                <c:pt idx="192">
                  <c:v>23.976723092655075</c:v>
                </c:pt>
                <c:pt idx="193">
                  <c:v>25.167620794853914</c:v>
                </c:pt>
                <c:pt idx="194">
                  <c:v>27.415156766808874</c:v>
                </c:pt>
                <c:pt idx="195">
                  <c:v>28.701100817034714</c:v>
                </c:pt>
                <c:pt idx="196">
                  <c:v>29.968838881382688</c:v>
                </c:pt>
                <c:pt idx="197">
                  <c:v>37.366487939031714</c:v>
                </c:pt>
                <c:pt idx="198">
                  <c:v>37.494567666647164</c:v>
                </c:pt>
                <c:pt idx="199">
                  <c:v>37.906465163851209</c:v>
                </c:pt>
                <c:pt idx="200">
                  <c:v>43.277874571283398</c:v>
                </c:pt>
                <c:pt idx="201">
                  <c:v>44.874183440637765</c:v>
                </c:pt>
                <c:pt idx="202">
                  <c:v>46.304860798381036</c:v>
                </c:pt>
                <c:pt idx="203">
                  <c:v>47.50807077718418</c:v>
                </c:pt>
                <c:pt idx="204">
                  <c:v>48.699731708199657</c:v>
                </c:pt>
                <c:pt idx="205">
                  <c:v>53.889973344933146</c:v>
                </c:pt>
                <c:pt idx="206">
                  <c:v>58.170578866504876</c:v>
                </c:pt>
                <c:pt idx="207">
                  <c:v>61.330273414315677</c:v>
                </c:pt>
                <c:pt idx="208">
                  <c:v>62.030032099889922</c:v>
                </c:pt>
                <c:pt idx="209">
                  <c:v>65.954773869346738</c:v>
                </c:pt>
                <c:pt idx="210">
                  <c:v>67.433193442487038</c:v>
                </c:pt>
                <c:pt idx="211">
                  <c:v>68.987384367991396</c:v>
                </c:pt>
                <c:pt idx="212">
                  <c:v>72.200118546805015</c:v>
                </c:pt>
                <c:pt idx="213">
                  <c:v>77.603450451483297</c:v>
                </c:pt>
                <c:pt idx="214">
                  <c:v>78.809737845944454</c:v>
                </c:pt>
                <c:pt idx="215">
                  <c:v>80.642349282690617</c:v>
                </c:pt>
                <c:pt idx="216">
                  <c:v>81.526318227875066</c:v>
                </c:pt>
                <c:pt idx="217">
                  <c:v>85.357120509296493</c:v>
                </c:pt>
                <c:pt idx="218">
                  <c:v>86.919409772147688</c:v>
                </c:pt>
                <c:pt idx="219">
                  <c:v>87.723098249870048</c:v>
                </c:pt>
                <c:pt idx="220">
                  <c:v>92.443348819569536</c:v>
                </c:pt>
                <c:pt idx="221">
                  <c:v>93.177870802143673</c:v>
                </c:pt>
                <c:pt idx="222">
                  <c:v>95.199857944792626</c:v>
                </c:pt>
                <c:pt idx="223">
                  <c:v>95.496677244186387</c:v>
                </c:pt>
                <c:pt idx="224">
                  <c:v>104.30865054717114</c:v>
                </c:pt>
                <c:pt idx="225">
                  <c:v>107.66605984786608</c:v>
                </c:pt>
                <c:pt idx="226">
                  <c:v>113.7647756748451</c:v>
                </c:pt>
                <c:pt idx="227">
                  <c:v>114.07385909345544</c:v>
                </c:pt>
                <c:pt idx="228">
                  <c:v>116.03121374668386</c:v>
                </c:pt>
                <c:pt idx="229">
                  <c:v>118.12370688258261</c:v>
                </c:pt>
                <c:pt idx="230">
                  <c:v>123.42689674212882</c:v>
                </c:pt>
                <c:pt idx="231">
                  <c:v>127.47375181053154</c:v>
                </c:pt>
                <c:pt idx="232">
                  <c:v>128.05773457894932</c:v>
                </c:pt>
                <c:pt idx="233">
                  <c:v>146.083323394084</c:v>
                </c:pt>
                <c:pt idx="234">
                  <c:v>148.73652543283109</c:v>
                </c:pt>
                <c:pt idx="235">
                  <c:v>151.16412541753812</c:v>
                </c:pt>
                <c:pt idx="236">
                  <c:v>157.51783853240042</c:v>
                </c:pt>
                <c:pt idx="237">
                  <c:v>157.52846451164092</c:v>
                </c:pt>
                <c:pt idx="238">
                  <c:v>163.6295355782471</c:v>
                </c:pt>
                <c:pt idx="239">
                  <c:v>166.4979565787774</c:v>
                </c:pt>
                <c:pt idx="240">
                  <c:v>168.18058198986523</c:v>
                </c:pt>
                <c:pt idx="241">
                  <c:v>172.5986599171421</c:v>
                </c:pt>
                <c:pt idx="242">
                  <c:v>177.93866568945751</c:v>
                </c:pt>
                <c:pt idx="243">
                  <c:v>187.39633799257768</c:v>
                </c:pt>
                <c:pt idx="244">
                  <c:v>216.60427070377443</c:v>
                </c:pt>
                <c:pt idx="245">
                  <c:v>217.85304385894736</c:v>
                </c:pt>
                <c:pt idx="246">
                  <c:v>221.55373264097136</c:v>
                </c:pt>
                <c:pt idx="247">
                  <c:v>226.49665950371752</c:v>
                </c:pt>
                <c:pt idx="248">
                  <c:v>231.62723668309701</c:v>
                </c:pt>
                <c:pt idx="249">
                  <c:v>236.25590639765994</c:v>
                </c:pt>
                <c:pt idx="250">
                  <c:v>236.72274366820236</c:v>
                </c:pt>
                <c:pt idx="251">
                  <c:v>244.78885142298881</c:v>
                </c:pt>
                <c:pt idx="252">
                  <c:v>244.85484748583684</c:v>
                </c:pt>
                <c:pt idx="253">
                  <c:v>246.59273130501884</c:v>
                </c:pt>
                <c:pt idx="254">
                  <c:v>255.66170135924986</c:v>
                </c:pt>
                <c:pt idx="255">
                  <c:v>261.54840615016633</c:v>
                </c:pt>
                <c:pt idx="256">
                  <c:v>270.94721255178717</c:v>
                </c:pt>
                <c:pt idx="257">
                  <c:v>275.93286083741634</c:v>
                </c:pt>
                <c:pt idx="258">
                  <c:v>278.54088288679139</c:v>
                </c:pt>
                <c:pt idx="259">
                  <c:v>281.4070351758794</c:v>
                </c:pt>
                <c:pt idx="260">
                  <c:v>281.90176353810142</c:v>
                </c:pt>
                <c:pt idx="261">
                  <c:v>305.99734218727701</c:v>
                </c:pt>
                <c:pt idx="262">
                  <c:v>309.51829597997005</c:v>
                </c:pt>
                <c:pt idx="263">
                  <c:v>353.53759950193444</c:v>
                </c:pt>
                <c:pt idx="264">
                  <c:v>382.12987706028127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E3-4488-AA8B-5E84B2F94E4A}"/>
            </c:ext>
          </c:extLst>
        </c:ser>
        <c:ser>
          <c:idx val="2"/>
          <c:order val="2"/>
          <c:tx>
            <c:strRef>
              <c:f>'Strength CI'!$L$7</c:f>
              <c:strCache>
                <c:ptCount val="1"/>
                <c:pt idx="0">
                  <c:v>Upper 95%</c:v>
                </c:pt>
              </c:strCache>
            </c:strRef>
          </c:tx>
          <c:spPr>
            <a:ln w="12700" cap="rnd">
              <a:solidFill>
                <a:srgbClr val="9DC3E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'Strength CI'!$I$8:$I$272</c:f>
              <c:numCache>
                <c:formatCode>General</c:formatCode>
                <c:ptCount val="2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</c:numCache>
            </c:numRef>
          </c:xVal>
          <c:yVal>
            <c:numRef>
              <c:f>'Strength CI'!$L$8:$L$272</c:f>
              <c:numCache>
                <c:formatCode>0.000</c:formatCode>
                <c:ptCount val="265"/>
                <c:pt idx="0">
                  <c:v>0.41240374922832684</c:v>
                </c:pt>
                <c:pt idx="1">
                  <c:v>0.95816810995949897</c:v>
                </c:pt>
                <c:pt idx="2">
                  <c:v>1.0041171096571051</c:v>
                </c:pt>
                <c:pt idx="3">
                  <c:v>0.85016900203672563</c:v>
                </c:pt>
                <c:pt idx="4">
                  <c:v>0.79448224867221617</c:v>
                </c:pt>
                <c:pt idx="5">
                  <c:v>0.68857068367741503</c:v>
                </c:pt>
                <c:pt idx="6">
                  <c:v>0.82817600407298708</c:v>
                </c:pt>
                <c:pt idx="7">
                  <c:v>0.62917220866004653</c:v>
                </c:pt>
                <c:pt idx="8">
                  <c:v>0.90739957055468168</c:v>
                </c:pt>
                <c:pt idx="9">
                  <c:v>0.89875343995211465</c:v>
                </c:pt>
                <c:pt idx="10">
                  <c:v>0.7417275770981655</c:v>
                </c:pt>
                <c:pt idx="11">
                  <c:v>1.0311612080464154</c:v>
                </c:pt>
                <c:pt idx="12">
                  <c:v>1.1177223807338794</c:v>
                </c:pt>
                <c:pt idx="13">
                  <c:v>1.1373310554376896</c:v>
                </c:pt>
                <c:pt idx="14">
                  <c:v>0.74713603478291402</c:v>
                </c:pt>
                <c:pt idx="15">
                  <c:v>1.0363105031764974</c:v>
                </c:pt>
                <c:pt idx="16">
                  <c:v>1.0331227535688654</c:v>
                </c:pt>
                <c:pt idx="17">
                  <c:v>0.70446181528813745</c:v>
                </c:pt>
                <c:pt idx="18">
                  <c:v>0.82939366965678474</c:v>
                </c:pt>
                <c:pt idx="19">
                  <c:v>1.1044951052964422</c:v>
                </c:pt>
                <c:pt idx="20">
                  <c:v>1.1978571799485676</c:v>
                </c:pt>
                <c:pt idx="21">
                  <c:v>1.0654795910496118</c:v>
                </c:pt>
                <c:pt idx="22">
                  <c:v>0.66319971952787182</c:v>
                </c:pt>
                <c:pt idx="23">
                  <c:v>1.0051074076227549</c:v>
                </c:pt>
                <c:pt idx="24">
                  <c:v>1.0164351714337863</c:v>
                </c:pt>
                <c:pt idx="25">
                  <c:v>0.94023687780361409</c:v>
                </c:pt>
                <c:pt idx="26">
                  <c:v>0.97016603831339232</c:v>
                </c:pt>
                <c:pt idx="27">
                  <c:v>1.0265522151978437</c:v>
                </c:pt>
                <c:pt idx="28">
                  <c:v>1.0427538892945749</c:v>
                </c:pt>
                <c:pt idx="29">
                  <c:v>0.9903427800965392</c:v>
                </c:pt>
                <c:pt idx="30">
                  <c:v>0.91986120358974544</c:v>
                </c:pt>
                <c:pt idx="31">
                  <c:v>1.0933854261643789</c:v>
                </c:pt>
                <c:pt idx="32">
                  <c:v>0.88749559132359823</c:v>
                </c:pt>
                <c:pt idx="33">
                  <c:v>1.0247728273809882</c:v>
                </c:pt>
                <c:pt idx="34">
                  <c:v>1.1049986988651801</c:v>
                </c:pt>
                <c:pt idx="35">
                  <c:v>1.0313123723691051</c:v>
                </c:pt>
                <c:pt idx="36">
                  <c:v>1.0700453691755707</c:v>
                </c:pt>
                <c:pt idx="37">
                  <c:v>1.1290162495055771</c:v>
                </c:pt>
                <c:pt idx="38">
                  <c:v>1.0718028150166723</c:v>
                </c:pt>
                <c:pt idx="39">
                  <c:v>0.9870052955124049</c:v>
                </c:pt>
                <c:pt idx="40">
                  <c:v>1.4805445701282269</c:v>
                </c:pt>
                <c:pt idx="41">
                  <c:v>1.1035192615407841</c:v>
                </c:pt>
                <c:pt idx="42">
                  <c:v>1.7401877910513475</c:v>
                </c:pt>
                <c:pt idx="43">
                  <c:v>0.85553932867040317</c:v>
                </c:pt>
                <c:pt idx="44">
                  <c:v>1.8539909064144684</c:v>
                </c:pt>
                <c:pt idx="45">
                  <c:v>1.6823514464734439</c:v>
                </c:pt>
                <c:pt idx="46">
                  <c:v>1.160321027404019</c:v>
                </c:pt>
                <c:pt idx="47">
                  <c:v>1.2003123866556102</c:v>
                </c:pt>
                <c:pt idx="48">
                  <c:v>1.1397191443377326</c:v>
                </c:pt>
                <c:pt idx="49">
                  <c:v>0.90645135506958108</c:v>
                </c:pt>
                <c:pt idx="50">
                  <c:v>1.5124508441303317</c:v>
                </c:pt>
                <c:pt idx="51">
                  <c:v>1.1186309359401894</c:v>
                </c:pt>
                <c:pt idx="52">
                  <c:v>1.2371431902611385</c:v>
                </c:pt>
                <c:pt idx="53">
                  <c:v>0.99581856612818864</c:v>
                </c:pt>
                <c:pt idx="54">
                  <c:v>1.9141854982570619</c:v>
                </c:pt>
                <c:pt idx="55">
                  <c:v>1.7730347713224659</c:v>
                </c:pt>
                <c:pt idx="56">
                  <c:v>1.1845862432885363</c:v>
                </c:pt>
                <c:pt idx="57">
                  <c:v>1.0491360329528023</c:v>
                </c:pt>
                <c:pt idx="58">
                  <c:v>2.0205289694822284</c:v>
                </c:pt>
                <c:pt idx="59">
                  <c:v>1.1744817481876129</c:v>
                </c:pt>
                <c:pt idx="60">
                  <c:v>0.98654530155733455</c:v>
                </c:pt>
                <c:pt idx="61">
                  <c:v>1.125339911467266</c:v>
                </c:pt>
                <c:pt idx="62">
                  <c:v>1.177335310897146</c:v>
                </c:pt>
                <c:pt idx="63">
                  <c:v>1.3548394855123882</c:v>
                </c:pt>
                <c:pt idx="64">
                  <c:v>1.3197952495207055</c:v>
                </c:pt>
                <c:pt idx="65">
                  <c:v>1.9374872426546073</c:v>
                </c:pt>
                <c:pt idx="66">
                  <c:v>1.7042502844693372</c:v>
                </c:pt>
                <c:pt idx="67">
                  <c:v>2.1056198445332068</c:v>
                </c:pt>
                <c:pt idx="68">
                  <c:v>2.2548225969944351</c:v>
                </c:pt>
                <c:pt idx="69">
                  <c:v>1.6840364727046051</c:v>
                </c:pt>
                <c:pt idx="70">
                  <c:v>2.2488069882535457</c:v>
                </c:pt>
                <c:pt idx="71">
                  <c:v>1.6194975155347033</c:v>
                </c:pt>
                <c:pt idx="72">
                  <c:v>2.2139873410425239</c:v>
                </c:pt>
                <c:pt idx="73">
                  <c:v>1.7933921267660495</c:v>
                </c:pt>
                <c:pt idx="74">
                  <c:v>1.3192834767226873</c:v>
                </c:pt>
                <c:pt idx="75">
                  <c:v>2.593684248010713</c:v>
                </c:pt>
                <c:pt idx="76">
                  <c:v>1.5965353329753564</c:v>
                </c:pt>
                <c:pt idx="77">
                  <c:v>1.782347094317021</c:v>
                </c:pt>
                <c:pt idx="78">
                  <c:v>1.394745149388994</c:v>
                </c:pt>
                <c:pt idx="79">
                  <c:v>1.6935359215840298</c:v>
                </c:pt>
                <c:pt idx="80">
                  <c:v>1.226609118743039</c:v>
                </c:pt>
                <c:pt idx="81">
                  <c:v>2.491295508914277</c:v>
                </c:pt>
                <c:pt idx="82">
                  <c:v>2.4238123288209046</c:v>
                </c:pt>
                <c:pt idx="83">
                  <c:v>1.9011728974982147</c:v>
                </c:pt>
                <c:pt idx="84">
                  <c:v>3.3152157209624313</c:v>
                </c:pt>
                <c:pt idx="85">
                  <c:v>2.4214286144801953</c:v>
                </c:pt>
                <c:pt idx="86">
                  <c:v>2.3662147469610595</c:v>
                </c:pt>
                <c:pt idx="87">
                  <c:v>2.6839484510584906</c:v>
                </c:pt>
                <c:pt idx="88">
                  <c:v>2.7040863593804891</c:v>
                </c:pt>
                <c:pt idx="89">
                  <c:v>2.8149139013521318</c:v>
                </c:pt>
                <c:pt idx="90">
                  <c:v>1.7266807229384531</c:v>
                </c:pt>
                <c:pt idx="91">
                  <c:v>2.3692729727084565</c:v>
                </c:pt>
                <c:pt idx="92">
                  <c:v>2.7084170519900725</c:v>
                </c:pt>
                <c:pt idx="93">
                  <c:v>2.6208233594391892</c:v>
                </c:pt>
                <c:pt idx="94">
                  <c:v>2.8565959417219604</c:v>
                </c:pt>
                <c:pt idx="95">
                  <c:v>2.4295624751159695</c:v>
                </c:pt>
                <c:pt idx="96">
                  <c:v>2.5152703805177383</c:v>
                </c:pt>
                <c:pt idx="97">
                  <c:v>1.7739007559333368</c:v>
                </c:pt>
                <c:pt idx="98">
                  <c:v>1.8970141591109284</c:v>
                </c:pt>
                <c:pt idx="99">
                  <c:v>1.5284227446045806</c:v>
                </c:pt>
                <c:pt idx="100">
                  <c:v>1.9776376392475117</c:v>
                </c:pt>
                <c:pt idx="101">
                  <c:v>3.0573796582877302</c:v>
                </c:pt>
                <c:pt idx="102">
                  <c:v>3.4250583705643862</c:v>
                </c:pt>
                <c:pt idx="103">
                  <c:v>1.8035257699206853</c:v>
                </c:pt>
                <c:pt idx="104">
                  <c:v>1.6738642986830707</c:v>
                </c:pt>
                <c:pt idx="105">
                  <c:v>1.6897352258367864</c:v>
                </c:pt>
                <c:pt idx="106">
                  <c:v>3.3145866588429058</c:v>
                </c:pt>
                <c:pt idx="107">
                  <c:v>2.2052739761134625</c:v>
                </c:pt>
                <c:pt idx="108">
                  <c:v>2.3422037802959217</c:v>
                </c:pt>
                <c:pt idx="109">
                  <c:v>3.437299918760826</c:v>
                </c:pt>
                <c:pt idx="110">
                  <c:v>2.1972023318082914</c:v>
                </c:pt>
                <c:pt idx="111">
                  <c:v>1.9384055221485677</c:v>
                </c:pt>
                <c:pt idx="112">
                  <c:v>2.1494436619813846</c:v>
                </c:pt>
                <c:pt idx="113">
                  <c:v>2.35502999342429</c:v>
                </c:pt>
                <c:pt idx="114">
                  <c:v>1.751460618479191</c:v>
                </c:pt>
                <c:pt idx="115">
                  <c:v>3.8721895876939776</c:v>
                </c:pt>
                <c:pt idx="116">
                  <c:v>1.9806020618781579</c:v>
                </c:pt>
                <c:pt idx="117">
                  <c:v>2.6557523355324615</c:v>
                </c:pt>
                <c:pt idx="118">
                  <c:v>4.0511299148111979</c:v>
                </c:pt>
                <c:pt idx="119">
                  <c:v>4.1314372459318189</c:v>
                </c:pt>
                <c:pt idx="120">
                  <c:v>4.0225132279749136</c:v>
                </c:pt>
                <c:pt idx="121">
                  <c:v>2.5076450607099465</c:v>
                </c:pt>
                <c:pt idx="122">
                  <c:v>3.029746936928885</c:v>
                </c:pt>
                <c:pt idx="123">
                  <c:v>3.2985288006508062</c:v>
                </c:pt>
                <c:pt idx="124">
                  <c:v>2.2153584109691948</c:v>
                </c:pt>
                <c:pt idx="125">
                  <c:v>3.6391608240693047</c:v>
                </c:pt>
                <c:pt idx="126">
                  <c:v>4.0708462596270438</c:v>
                </c:pt>
                <c:pt idx="127">
                  <c:v>4.4581441704957285</c:v>
                </c:pt>
                <c:pt idx="128">
                  <c:v>4.2932849856579036</c:v>
                </c:pt>
                <c:pt idx="129">
                  <c:v>4.4452511607551433</c:v>
                </c:pt>
                <c:pt idx="130">
                  <c:v>5.5106155840720534</c:v>
                </c:pt>
                <c:pt idx="131">
                  <c:v>3.5030532079235348</c:v>
                </c:pt>
                <c:pt idx="132">
                  <c:v>3.3214819702297755</c:v>
                </c:pt>
                <c:pt idx="133">
                  <c:v>2.7328363711314028</c:v>
                </c:pt>
                <c:pt idx="134">
                  <c:v>2.4512296429317622</c:v>
                </c:pt>
                <c:pt idx="135">
                  <c:v>3.2191755470512091</c:v>
                </c:pt>
                <c:pt idx="136">
                  <c:v>3.7385131057239773</c:v>
                </c:pt>
                <c:pt idx="137">
                  <c:v>2.3241908910460545</c:v>
                </c:pt>
                <c:pt idx="138">
                  <c:v>4.6109600740661367</c:v>
                </c:pt>
                <c:pt idx="139">
                  <c:v>3.4898663594964265</c:v>
                </c:pt>
                <c:pt idx="140">
                  <c:v>4.899230259432942</c:v>
                </c:pt>
                <c:pt idx="141">
                  <c:v>2.3613702944186024</c:v>
                </c:pt>
                <c:pt idx="142">
                  <c:v>4.1592575311643767</c:v>
                </c:pt>
                <c:pt idx="143">
                  <c:v>4.621040802260497</c:v>
                </c:pt>
                <c:pt idx="144">
                  <c:v>5.3853163900062064</c:v>
                </c:pt>
                <c:pt idx="145">
                  <c:v>2.575794069477253</c:v>
                </c:pt>
                <c:pt idx="146">
                  <c:v>3.5299899683542924</c:v>
                </c:pt>
                <c:pt idx="147">
                  <c:v>5.145386566478674</c:v>
                </c:pt>
                <c:pt idx="148">
                  <c:v>3.4504061871136633</c:v>
                </c:pt>
                <c:pt idx="149">
                  <c:v>5.3382572955837109</c:v>
                </c:pt>
                <c:pt idx="150">
                  <c:v>4.0323772165367329</c:v>
                </c:pt>
                <c:pt idx="151">
                  <c:v>3.6797330120500384</c:v>
                </c:pt>
                <c:pt idx="152">
                  <c:v>2.7090360478190036</c:v>
                </c:pt>
                <c:pt idx="153">
                  <c:v>3.6951049604372184</c:v>
                </c:pt>
                <c:pt idx="154">
                  <c:v>6.383355902270555</c:v>
                </c:pt>
                <c:pt idx="155">
                  <c:v>5.577158809587937</c:v>
                </c:pt>
                <c:pt idx="156">
                  <c:v>3.6281900016505126</c:v>
                </c:pt>
                <c:pt idx="157">
                  <c:v>5.2302114667004158</c:v>
                </c:pt>
                <c:pt idx="158">
                  <c:v>5.4568888726739733</c:v>
                </c:pt>
                <c:pt idx="159">
                  <c:v>4.3722110393201508</c:v>
                </c:pt>
                <c:pt idx="160">
                  <c:v>4.4038541574229892</c:v>
                </c:pt>
                <c:pt idx="161">
                  <c:v>6.5566021801360277</c:v>
                </c:pt>
                <c:pt idx="162">
                  <c:v>3.3414857434026004</c:v>
                </c:pt>
                <c:pt idx="163">
                  <c:v>6.2126478956633182</c:v>
                </c:pt>
                <c:pt idx="164">
                  <c:v>5.4413549837250503</c:v>
                </c:pt>
                <c:pt idx="165">
                  <c:v>6.1693859942982705</c:v>
                </c:pt>
                <c:pt idx="166">
                  <c:v>9.9565891097689487</c:v>
                </c:pt>
                <c:pt idx="167">
                  <c:v>6.1547274509706531</c:v>
                </c:pt>
                <c:pt idx="168">
                  <c:v>6.1990290871372036</c:v>
                </c:pt>
                <c:pt idx="169">
                  <c:v>9.3240639924824507</c:v>
                </c:pt>
                <c:pt idx="170">
                  <c:v>11.036996110365301</c:v>
                </c:pt>
                <c:pt idx="171">
                  <c:v>12.409864097107896</c:v>
                </c:pt>
                <c:pt idx="172">
                  <c:v>12.867509817306928</c:v>
                </c:pt>
                <c:pt idx="173">
                  <c:v>6.9078912568203847</c:v>
                </c:pt>
                <c:pt idx="174">
                  <c:v>7.9369426430730083</c:v>
                </c:pt>
                <c:pt idx="175">
                  <c:v>9.8120486646077136</c:v>
                </c:pt>
                <c:pt idx="176">
                  <c:v>14.786998060358298</c:v>
                </c:pt>
                <c:pt idx="177">
                  <c:v>11.629450532169464</c:v>
                </c:pt>
                <c:pt idx="178">
                  <c:v>11.253230277311584</c:v>
                </c:pt>
                <c:pt idx="179">
                  <c:v>16.602494137074533</c:v>
                </c:pt>
                <c:pt idx="180">
                  <c:v>14.200852427295555</c:v>
                </c:pt>
                <c:pt idx="181">
                  <c:v>12.603931063039949</c:v>
                </c:pt>
                <c:pt idx="182">
                  <c:v>14.353929362426834</c:v>
                </c:pt>
                <c:pt idx="183">
                  <c:v>13.330144107965308</c:v>
                </c:pt>
                <c:pt idx="184">
                  <c:v>21.547450866505692</c:v>
                </c:pt>
                <c:pt idx="185">
                  <c:v>12.79921742509028</c:v>
                </c:pt>
                <c:pt idx="186">
                  <c:v>25.013068101614685</c:v>
                </c:pt>
                <c:pt idx="187">
                  <c:v>48.908363539295848</c:v>
                </c:pt>
                <c:pt idx="188">
                  <c:v>31.968809301782599</c:v>
                </c:pt>
                <c:pt idx="189">
                  <c:v>25.959914886621132</c:v>
                </c:pt>
                <c:pt idx="190">
                  <c:v>30.872863232431378</c:v>
                </c:pt>
                <c:pt idx="191">
                  <c:v>20.76498193446572</c:v>
                </c:pt>
                <c:pt idx="192">
                  <c:v>24.200665832139372</c:v>
                </c:pt>
                <c:pt idx="193">
                  <c:v>35.004884962862718</c:v>
                </c:pt>
                <c:pt idx="194">
                  <c:v>34.638889345740075</c:v>
                </c:pt>
                <c:pt idx="195">
                  <c:v>52.230435418160617</c:v>
                </c:pt>
                <c:pt idx="196">
                  <c:v>59.252461147291754</c:v>
                </c:pt>
                <c:pt idx="197">
                  <c:v>48.348089690628782</c:v>
                </c:pt>
                <c:pt idx="198">
                  <c:v>44.899963883344945</c:v>
                </c:pt>
                <c:pt idx="199">
                  <c:v>42.865719202791972</c:v>
                </c:pt>
                <c:pt idx="200">
                  <c:v>57.567088902924425</c:v>
                </c:pt>
                <c:pt idx="201">
                  <c:v>53.338926990085014</c:v>
                </c:pt>
                <c:pt idx="202">
                  <c:v>51.106405103738524</c:v>
                </c:pt>
                <c:pt idx="203">
                  <c:v>70.620555584888209</c:v>
                </c:pt>
                <c:pt idx="204">
                  <c:v>75.080010128691356</c:v>
                </c:pt>
                <c:pt idx="205">
                  <c:v>105.77885042093905</c:v>
                </c:pt>
                <c:pt idx="206">
                  <c:v>98.489930050605011</c:v>
                </c:pt>
                <c:pt idx="207">
                  <c:v>61.330273414315677</c:v>
                </c:pt>
                <c:pt idx="208">
                  <c:v>87.12739715120324</c:v>
                </c:pt>
                <c:pt idx="209">
                  <c:v>65.954773869346738</c:v>
                </c:pt>
                <c:pt idx="210">
                  <c:v>88.042227857695792</c:v>
                </c:pt>
                <c:pt idx="211">
                  <c:v>97.514450279869394</c:v>
                </c:pt>
                <c:pt idx="212">
                  <c:v>94.394028122075994</c:v>
                </c:pt>
                <c:pt idx="213">
                  <c:v>91.734636439350766</c:v>
                </c:pt>
                <c:pt idx="214">
                  <c:v>103.40655804051232</c:v>
                </c:pt>
                <c:pt idx="215">
                  <c:v>116.05360142837939</c:v>
                </c:pt>
                <c:pt idx="216">
                  <c:v>105.84749352698118</c:v>
                </c:pt>
                <c:pt idx="217">
                  <c:v>120.29867052049826</c:v>
                </c:pt>
                <c:pt idx="218">
                  <c:v>142.68700238126891</c:v>
                </c:pt>
                <c:pt idx="219">
                  <c:v>107.51837191829088</c:v>
                </c:pt>
                <c:pt idx="220">
                  <c:v>92.443348819569536</c:v>
                </c:pt>
                <c:pt idx="221">
                  <c:v>138.01735554667417</c:v>
                </c:pt>
                <c:pt idx="222">
                  <c:v>187.0496509913753</c:v>
                </c:pt>
                <c:pt idx="223">
                  <c:v>192.02449139851745</c:v>
                </c:pt>
                <c:pt idx="224">
                  <c:v>196.26259253352617</c:v>
                </c:pt>
                <c:pt idx="225">
                  <c:v>146.06113468259838</c:v>
                </c:pt>
                <c:pt idx="226">
                  <c:v>157.95099578612451</c:v>
                </c:pt>
                <c:pt idx="227">
                  <c:v>163.7846690282397</c:v>
                </c:pt>
                <c:pt idx="228">
                  <c:v>188.09804311576636</c:v>
                </c:pt>
                <c:pt idx="229">
                  <c:v>174.24199593361323</c:v>
                </c:pt>
                <c:pt idx="230">
                  <c:v>161.57231399152073</c:v>
                </c:pt>
                <c:pt idx="231">
                  <c:v>180.81674696012348</c:v>
                </c:pt>
                <c:pt idx="232">
                  <c:v>234.28420498733175</c:v>
                </c:pt>
                <c:pt idx="233">
                  <c:v>313.11581900129971</c:v>
                </c:pt>
                <c:pt idx="234">
                  <c:v>166.48958314082475</c:v>
                </c:pt>
                <c:pt idx="235">
                  <c:v>193.00560189861471</c:v>
                </c:pt>
                <c:pt idx="236">
                  <c:v>198.43047389795964</c:v>
                </c:pt>
                <c:pt idx="237">
                  <c:v>168.49957277743056</c:v>
                </c:pt>
                <c:pt idx="238">
                  <c:v>261.28939180328115</c:v>
                </c:pt>
                <c:pt idx="239">
                  <c:v>199.93021565124175</c:v>
                </c:pt>
                <c:pt idx="240">
                  <c:v>351.50298384962258</c:v>
                </c:pt>
                <c:pt idx="241">
                  <c:v>344.32947765440304</c:v>
                </c:pt>
                <c:pt idx="242">
                  <c:v>314.95826612649245</c:v>
                </c:pt>
                <c:pt idx="243">
                  <c:v>253.69221580068438</c:v>
                </c:pt>
                <c:pt idx="244">
                  <c:v>292.03794105567198</c:v>
                </c:pt>
                <c:pt idx="245">
                  <c:v>245.18781439720672</c:v>
                </c:pt>
                <c:pt idx="246">
                  <c:v>294.07903951248358</c:v>
                </c:pt>
                <c:pt idx="247">
                  <c:v>270.34980208040849</c:v>
                </c:pt>
                <c:pt idx="248">
                  <c:v>301.3360779446781</c:v>
                </c:pt>
                <c:pt idx="249">
                  <c:v>354.82603759408261</c:v>
                </c:pt>
                <c:pt idx="250">
                  <c:v>475.60369632687787</c:v>
                </c:pt>
                <c:pt idx="251">
                  <c:v>569.48205636922899</c:v>
                </c:pt>
                <c:pt idx="252">
                  <c:v>361.45575332204504</c:v>
                </c:pt>
                <c:pt idx="253">
                  <c:v>298.77485865540405</c:v>
                </c:pt>
                <c:pt idx="254">
                  <c:v>385.63889952116733</c:v>
                </c:pt>
                <c:pt idx="255">
                  <c:v>355.87083206099828</c:v>
                </c:pt>
                <c:pt idx="256">
                  <c:v>625.03534999538465</c:v>
                </c:pt>
                <c:pt idx="257">
                  <c:v>386.18239629848154</c:v>
                </c:pt>
                <c:pt idx="258">
                  <c:v>348.56137327757727</c:v>
                </c:pt>
                <c:pt idx="259">
                  <c:v>400.97256994283981</c:v>
                </c:pt>
                <c:pt idx="260">
                  <c:v>323.71031896304822</c:v>
                </c:pt>
                <c:pt idx="261">
                  <c:v>327.1709337045599</c:v>
                </c:pt>
                <c:pt idx="262">
                  <c:v>338.31339775692851</c:v>
                </c:pt>
                <c:pt idx="263">
                  <c:v>361.09264556038914</c:v>
                </c:pt>
                <c:pt idx="264">
                  <c:v>427.89760853662278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E3-4488-AA8B-5E84B2F94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856880"/>
        <c:axId val="1022812816"/>
      </c:scatterChart>
      <c:valAx>
        <c:axId val="125085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Terminator 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812816"/>
        <c:crosses val="autoZero"/>
        <c:crossBetween val="midCat"/>
      </c:valAx>
      <c:valAx>
        <c:axId val="10228128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Strength (log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56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25</xdr:col>
      <xdr:colOff>0</xdr:colOff>
      <xdr:row>42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7BE74C-C4D4-45E9-1EFD-B76156ACE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16AC96-5F76-4079-99AF-DB20DE92F1D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429e1d7-77b7-449b-a2b4-795389d7a0a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9"/>
  <sheetViews>
    <sheetView tabSelected="1" topLeftCell="C1" workbookViewId="0">
      <pane ySplit="1" topLeftCell="A2" activePane="bottomLeft" state="frozen"/>
      <selection pane="bottomLeft" activeCell="G1" sqref="G1:G1048576"/>
    </sheetView>
  </sheetViews>
  <sheetFormatPr defaultColWidth="8.85546875" defaultRowHeight="15" x14ac:dyDescent="0.25"/>
  <cols>
    <col min="1" max="1" width="8" bestFit="1" customWidth="1"/>
    <col min="2" max="2" width="17.85546875" bestFit="1" customWidth="1"/>
    <col min="3" max="3" width="19.28515625" bestFit="1" customWidth="1"/>
    <col min="4" max="4" width="8.7109375" bestFit="1" customWidth="1"/>
    <col min="5" max="5" width="65.85546875" customWidth="1"/>
    <col min="6" max="6" width="25.28515625" style="9" customWidth="1"/>
    <col min="7" max="7" width="23.85546875" style="9" customWidth="1"/>
    <col min="8" max="8" width="26.140625" style="9" customWidth="1"/>
    <col min="9" max="9" width="27.5703125" style="9" customWidth="1"/>
    <col min="10" max="10" width="16.42578125" style="9" customWidth="1"/>
    <col min="11" max="11" width="14.42578125" style="9" bestFit="1" customWidth="1"/>
    <col min="12" max="12" width="30.140625" style="9" bestFit="1" customWidth="1"/>
    <col min="13" max="13" width="28" style="9" bestFit="1" customWidth="1"/>
    <col min="14" max="14" width="30" style="9" bestFit="1" customWidth="1"/>
    <col min="15" max="15" width="27.85546875" style="9" bestFit="1" customWidth="1"/>
    <col min="16" max="16" width="20.85546875" style="9" customWidth="1"/>
    <col min="17" max="17" width="25" style="9" bestFit="1" customWidth="1"/>
    <col min="18" max="18" width="10.7109375" bestFit="1" customWidth="1"/>
    <col min="19" max="19" width="37.140625" bestFit="1" customWidth="1"/>
    <col min="20" max="20" width="19" bestFit="1" customWidth="1"/>
    <col min="21" max="21" width="15.7109375" bestFit="1" customWidth="1"/>
    <col min="22" max="22" width="15.42578125" bestFit="1" customWidth="1"/>
    <col min="23" max="23" width="9.85546875" bestFit="1" customWidth="1"/>
    <col min="24" max="24" width="5.140625" bestFit="1" customWidth="1"/>
    <col min="25" max="26" width="5.85546875" bestFit="1" customWidth="1"/>
    <col min="27" max="27" width="4.85546875" bestFit="1" customWidth="1"/>
    <col min="28" max="28" width="10.85546875" style="10" bestFit="1" customWidth="1"/>
  </cols>
  <sheetData>
    <row r="1" spans="1:34" s="7" customFormat="1" x14ac:dyDescent="0.25">
      <c r="A1" s="1" t="s">
        <v>530</v>
      </c>
      <c r="B1" s="1" t="s">
        <v>749</v>
      </c>
      <c r="C1" s="1" t="s">
        <v>750</v>
      </c>
      <c r="D1" s="1" t="s">
        <v>740</v>
      </c>
      <c r="E1" s="1" t="s">
        <v>531</v>
      </c>
      <c r="F1" s="3" t="s">
        <v>532</v>
      </c>
      <c r="G1" s="4" t="s">
        <v>533</v>
      </c>
      <c r="H1" s="4" t="s">
        <v>534</v>
      </c>
      <c r="I1" s="4" t="s">
        <v>535</v>
      </c>
      <c r="J1" s="4" t="s">
        <v>536</v>
      </c>
      <c r="K1" s="5" t="s">
        <v>537</v>
      </c>
      <c r="L1" s="4" t="s">
        <v>538</v>
      </c>
      <c r="M1" s="4" t="s">
        <v>539</v>
      </c>
      <c r="N1" s="4" t="s">
        <v>540</v>
      </c>
      <c r="O1" s="4" t="s">
        <v>541</v>
      </c>
      <c r="P1" s="4" t="s">
        <v>542</v>
      </c>
      <c r="Q1" s="5" t="s">
        <v>543</v>
      </c>
      <c r="R1" s="11" t="s">
        <v>544</v>
      </c>
      <c r="S1" s="6" t="s">
        <v>545</v>
      </c>
      <c r="T1" s="6" t="s">
        <v>546</v>
      </c>
      <c r="U1" s="7" t="s">
        <v>547</v>
      </c>
      <c r="V1" s="7" t="s">
        <v>548</v>
      </c>
      <c r="W1" s="11" t="s">
        <v>743</v>
      </c>
      <c r="X1" s="11" t="s">
        <v>744</v>
      </c>
      <c r="Y1" s="11" t="s">
        <v>745</v>
      </c>
      <c r="Z1" s="11" t="s">
        <v>746</v>
      </c>
      <c r="AA1" s="11" t="s">
        <v>747</v>
      </c>
      <c r="AB1" s="5" t="s">
        <v>549</v>
      </c>
      <c r="AD1" s="11"/>
      <c r="AE1" s="11"/>
      <c r="AF1" s="11"/>
      <c r="AG1" s="11"/>
      <c r="AH1" s="11"/>
    </row>
    <row r="2" spans="1:34" x14ac:dyDescent="0.25">
      <c r="A2" t="s">
        <v>0</v>
      </c>
      <c r="B2" s="2" t="s">
        <v>742</v>
      </c>
      <c r="C2" s="2" t="s">
        <v>742</v>
      </c>
      <c r="D2" s="8" t="s">
        <v>741</v>
      </c>
      <c r="E2" t="s">
        <v>1</v>
      </c>
      <c r="F2" s="9">
        <v>70.533333333333331</v>
      </c>
      <c r="G2" s="9">
        <v>21100</v>
      </c>
      <c r="H2" s="9">
        <v>16.693333333333332</v>
      </c>
      <c r="I2" s="9">
        <v>27.95</v>
      </c>
      <c r="J2" s="9">
        <v>760.43845534995978</v>
      </c>
      <c r="K2" s="9">
        <v>382.12987706028127</v>
      </c>
      <c r="L2" s="9">
        <v>9.5143750889553669</v>
      </c>
      <c r="M2" s="9">
        <v>5374.0115370177609</v>
      </c>
      <c r="N2" s="9">
        <v>16.261692203867753</v>
      </c>
      <c r="O2" s="9">
        <v>8.414570696119906</v>
      </c>
      <c r="P2" s="9">
        <v>36.663742596518901</v>
      </c>
      <c r="Q2" s="9">
        <v>18.423991254532112</v>
      </c>
      <c r="R2" s="12" t="s">
        <v>556</v>
      </c>
      <c r="S2" t="s">
        <v>567</v>
      </c>
      <c r="T2" t="s">
        <v>579</v>
      </c>
      <c r="U2" t="s">
        <v>551</v>
      </c>
      <c r="V2" t="s">
        <v>702</v>
      </c>
      <c r="W2" s="12">
        <v>-1.1326150000000053</v>
      </c>
      <c r="X2" s="12">
        <v>0.4</v>
      </c>
      <c r="Y2" s="12">
        <v>-19.8</v>
      </c>
      <c r="Z2" s="12">
        <v>-9.0999999999999979</v>
      </c>
      <c r="AA2" s="12">
        <v>-10</v>
      </c>
      <c r="AB2" s="10">
        <f>1+1/(0.005*EXP(0.6*X2)+6*EXP(0.45*(Z2+AA2-W2))*(1+0.005*EXP(0.6*X2)))</f>
        <v>122.7114349953651</v>
      </c>
      <c r="AD2" s="12"/>
      <c r="AE2" s="12"/>
      <c r="AF2" s="12"/>
      <c r="AG2" s="12"/>
      <c r="AH2" s="12"/>
    </row>
    <row r="3" spans="1:34" x14ac:dyDescent="0.25">
      <c r="A3" t="s">
        <v>2</v>
      </c>
      <c r="B3" s="2"/>
      <c r="C3" s="2"/>
      <c r="D3" s="8" t="s">
        <v>741</v>
      </c>
      <c r="E3" t="s">
        <v>3</v>
      </c>
      <c r="F3" s="9">
        <v>67</v>
      </c>
      <c r="G3" s="9">
        <v>15900</v>
      </c>
      <c r="H3" s="9">
        <v>8.33</v>
      </c>
      <c r="I3" s="9">
        <v>22.6</v>
      </c>
      <c r="J3" s="9">
        <v>703.53982300884957</v>
      </c>
      <c r="K3" s="9">
        <v>353.53759950193444</v>
      </c>
      <c r="L3" s="9">
        <v>7.9903066274079855</v>
      </c>
      <c r="M3" s="9">
        <v>1484.9242404917497</v>
      </c>
      <c r="N3" s="9">
        <v>0.25455844122715737</v>
      </c>
      <c r="O3" s="9">
        <v>2.3334523779156049</v>
      </c>
      <c r="P3" s="9">
        <v>6.0522174697519127</v>
      </c>
      <c r="Q3" s="9">
        <v>3.0413153114331219</v>
      </c>
      <c r="R3" s="12" t="s">
        <v>552</v>
      </c>
      <c r="S3" t="s">
        <v>550</v>
      </c>
      <c r="T3" t="s">
        <v>574</v>
      </c>
      <c r="U3" t="s">
        <v>551</v>
      </c>
      <c r="V3" t="s">
        <v>702</v>
      </c>
      <c r="W3" s="12">
        <v>-1.1326150000000053</v>
      </c>
      <c r="X3" s="12">
        <v>2.7</v>
      </c>
      <c r="Y3" s="12">
        <v>-9.8000000000000007</v>
      </c>
      <c r="Z3" s="12">
        <v>-11.399999999999999</v>
      </c>
      <c r="AA3" s="12">
        <v>-7</v>
      </c>
      <c r="AB3" s="10">
        <f t="shared" ref="AB3:AB66" si="0">1+1/(0.005*EXP(0.6*X3)+6*EXP(0.45*(Z3+AA3-W3))*(1+0.005*EXP(0.6*X3)))</f>
        <v>36.891311661198337</v>
      </c>
      <c r="AD3" s="12"/>
      <c r="AE3" s="12"/>
      <c r="AF3" s="12"/>
      <c r="AG3" s="12"/>
      <c r="AH3" s="12"/>
    </row>
    <row r="4" spans="1:34" x14ac:dyDescent="0.25">
      <c r="A4" t="s">
        <v>4</v>
      </c>
      <c r="B4" s="2"/>
      <c r="C4" s="2"/>
      <c r="D4" s="8" t="s">
        <v>741</v>
      </c>
      <c r="E4" t="s">
        <v>5</v>
      </c>
      <c r="F4" s="9">
        <v>76.933333333333323</v>
      </c>
      <c r="G4" s="9">
        <v>24833.333333333332</v>
      </c>
      <c r="H4" s="9">
        <v>7.6566666666666663</v>
      </c>
      <c r="I4" s="9">
        <v>40.366666666666667</v>
      </c>
      <c r="J4" s="9">
        <v>615.94140900014042</v>
      </c>
      <c r="K4" s="9">
        <v>309.51829597997005</v>
      </c>
      <c r="L4" s="9">
        <v>7.9324229169487275</v>
      </c>
      <c r="M4" s="9">
        <v>3350.1243758006021</v>
      </c>
      <c r="N4" s="9">
        <v>0.83978171767033205</v>
      </c>
      <c r="O4" s="9">
        <v>5.8346665143205501</v>
      </c>
      <c r="P4" s="9">
        <v>23.067260830629223</v>
      </c>
      <c r="Q4" s="9">
        <v>11.591588357100113</v>
      </c>
      <c r="R4" s="12" t="s">
        <v>562</v>
      </c>
      <c r="S4" t="s">
        <v>550</v>
      </c>
      <c r="T4" t="s">
        <v>574</v>
      </c>
      <c r="U4" t="s">
        <v>551</v>
      </c>
      <c r="V4" t="s">
        <v>702</v>
      </c>
      <c r="W4" s="12">
        <v>-1.1326150000000053</v>
      </c>
      <c r="X4" s="12">
        <v>2.7</v>
      </c>
      <c r="Y4" s="12">
        <v>-9.8000000000000007</v>
      </c>
      <c r="Z4" s="12">
        <v>-6.1</v>
      </c>
      <c r="AA4" s="12">
        <v>-7</v>
      </c>
      <c r="AB4" s="10">
        <f t="shared" si="0"/>
        <v>19.705432066617298</v>
      </c>
      <c r="AD4" s="12"/>
      <c r="AE4" s="12"/>
      <c r="AF4" s="12"/>
      <c r="AG4" s="12"/>
      <c r="AH4" s="12"/>
    </row>
    <row r="5" spans="1:34" x14ac:dyDescent="0.25">
      <c r="A5" t="s">
        <v>6</v>
      </c>
      <c r="B5" s="2"/>
      <c r="C5" s="2"/>
      <c r="D5" s="8" t="s">
        <v>742</v>
      </c>
      <c r="E5" t="s">
        <v>7</v>
      </c>
      <c r="F5" s="9">
        <v>74.166666666666671</v>
      </c>
      <c r="G5" s="9">
        <v>21433.333333333332</v>
      </c>
      <c r="H5" s="9">
        <v>8.7733333333333334</v>
      </c>
      <c r="I5" s="9">
        <v>35.266666666666673</v>
      </c>
      <c r="J5" s="9">
        <v>608.93471095268126</v>
      </c>
      <c r="K5" s="9">
        <v>305.99734218727701</v>
      </c>
      <c r="L5" s="9">
        <v>19.161506551765022</v>
      </c>
      <c r="M5" s="9">
        <v>6436.0961252403131</v>
      </c>
      <c r="N5" s="9">
        <v>1.4331899153054826</v>
      </c>
      <c r="O5" s="9">
        <v>10.960079075140506</v>
      </c>
      <c r="P5" s="9">
        <v>16.961800032295404</v>
      </c>
      <c r="Q5" s="9">
        <v>8.5235176041685445</v>
      </c>
      <c r="R5" s="12" t="s">
        <v>552</v>
      </c>
      <c r="S5" t="s">
        <v>557</v>
      </c>
      <c r="T5" t="s">
        <v>575</v>
      </c>
      <c r="U5" t="s">
        <v>555</v>
      </c>
      <c r="V5" t="s">
        <v>698</v>
      </c>
      <c r="W5" s="12">
        <v>0.56494999999999707</v>
      </c>
      <c r="X5" s="12">
        <v>4.0999999999999996</v>
      </c>
      <c r="Y5" s="12">
        <v>-16.100000000000001</v>
      </c>
      <c r="Z5" s="12">
        <v>-6.0999999999999979</v>
      </c>
      <c r="AA5" s="12">
        <v>-10</v>
      </c>
      <c r="AB5" s="10">
        <f t="shared" si="0"/>
        <v>17.118765386039435</v>
      </c>
      <c r="AD5" s="12"/>
      <c r="AE5" s="12"/>
      <c r="AF5" s="12"/>
      <c r="AG5" s="12"/>
      <c r="AH5" s="12"/>
    </row>
    <row r="6" spans="1:34" x14ac:dyDescent="0.25">
      <c r="A6" t="s">
        <v>8</v>
      </c>
      <c r="B6" s="2"/>
      <c r="C6" s="2" t="s">
        <v>742</v>
      </c>
      <c r="D6" s="8" t="s">
        <v>741</v>
      </c>
      <c r="E6" t="s">
        <v>9</v>
      </c>
      <c r="F6" s="9">
        <v>78.13333333333334</v>
      </c>
      <c r="G6" s="9">
        <v>21066.666666666668</v>
      </c>
      <c r="H6" s="9">
        <v>7.9099999999999993</v>
      </c>
      <c r="I6" s="9">
        <v>37.633333333333333</v>
      </c>
      <c r="J6" s="9">
        <v>560.98450944082185</v>
      </c>
      <c r="K6" s="9">
        <v>281.90176353810142</v>
      </c>
      <c r="L6" s="9">
        <v>7.0599811142334703</v>
      </c>
      <c r="M6" s="9">
        <v>2010.8041509140899</v>
      </c>
      <c r="N6" s="9">
        <v>1.1186152153444073</v>
      </c>
      <c r="O6" s="9">
        <v>3.9878983604567124</v>
      </c>
      <c r="P6" s="9">
        <v>33.492114749557039</v>
      </c>
      <c r="Q6" s="9">
        <v>16.830208416862835</v>
      </c>
      <c r="R6" s="12" t="s">
        <v>562</v>
      </c>
      <c r="S6" t="s">
        <v>561</v>
      </c>
      <c r="T6" t="s">
        <v>586</v>
      </c>
      <c r="U6" t="s">
        <v>560</v>
      </c>
      <c r="V6" t="s">
        <v>700</v>
      </c>
      <c r="W6" s="12">
        <v>1.6358049999999931</v>
      </c>
      <c r="X6" s="12">
        <v>2.2000000000000002</v>
      </c>
      <c r="Y6" s="12">
        <v>-8.6999999999999993</v>
      </c>
      <c r="Z6" s="12">
        <v>-8</v>
      </c>
      <c r="AA6" s="12">
        <v>-7.6000000000000005</v>
      </c>
      <c r="AB6" s="10">
        <f t="shared" si="0"/>
        <v>47.873771992530017</v>
      </c>
      <c r="AD6" s="12"/>
      <c r="AE6" s="12"/>
      <c r="AF6" s="12"/>
      <c r="AG6" s="12"/>
      <c r="AH6" s="12"/>
    </row>
    <row r="7" spans="1:34" x14ac:dyDescent="0.25">
      <c r="A7" t="s">
        <v>10</v>
      </c>
      <c r="B7" s="2"/>
      <c r="C7" s="2"/>
      <c r="D7" s="8" t="s">
        <v>741</v>
      </c>
      <c r="E7" t="s">
        <v>11</v>
      </c>
      <c r="F7" s="9">
        <v>71.2</v>
      </c>
      <c r="G7" s="9">
        <v>21000</v>
      </c>
      <c r="H7" s="9">
        <v>8.58</v>
      </c>
      <c r="I7" s="9">
        <v>37.5</v>
      </c>
      <c r="J7" s="9">
        <v>560</v>
      </c>
      <c r="K7" s="9">
        <v>281.4070351758794</v>
      </c>
      <c r="L7" s="9">
        <v>9.1923881554251174</v>
      </c>
      <c r="M7" s="9">
        <v>3252.6911934581185</v>
      </c>
      <c r="N7" s="9">
        <v>0.57275649276110385</v>
      </c>
      <c r="O7" s="9">
        <v>16.122034611053287</v>
      </c>
      <c r="P7" s="9">
        <v>95.781893677142918</v>
      </c>
      <c r="Q7" s="9">
        <v>48.131604862885887</v>
      </c>
      <c r="R7" s="12" t="s">
        <v>562</v>
      </c>
      <c r="S7" t="s">
        <v>561</v>
      </c>
      <c r="T7" t="s">
        <v>586</v>
      </c>
      <c r="U7" t="s">
        <v>560</v>
      </c>
      <c r="V7" t="s">
        <v>701</v>
      </c>
      <c r="W7" s="12">
        <v>0.25460499999999592</v>
      </c>
      <c r="X7" s="12">
        <v>2.2000000000000002</v>
      </c>
      <c r="Y7" s="12">
        <v>-8.6999999999999993</v>
      </c>
      <c r="Z7" s="12">
        <v>-7.1000000000000014</v>
      </c>
      <c r="AA7" s="12">
        <v>-7.6000000000000005</v>
      </c>
      <c r="AB7" s="10">
        <f t="shared" si="0"/>
        <v>39.42964531354523</v>
      </c>
      <c r="AD7" s="12"/>
      <c r="AE7" s="12"/>
      <c r="AF7" s="12"/>
      <c r="AG7" s="12"/>
      <c r="AH7" s="12"/>
    </row>
    <row r="8" spans="1:34" x14ac:dyDescent="0.25">
      <c r="A8" t="s">
        <v>12</v>
      </c>
      <c r="B8" s="2"/>
      <c r="C8" s="2"/>
      <c r="D8" s="8" t="s">
        <v>742</v>
      </c>
      <c r="E8" t="s">
        <v>13</v>
      </c>
      <c r="F8" s="9">
        <v>58.65</v>
      </c>
      <c r="G8" s="9">
        <v>17468.75</v>
      </c>
      <c r="H8" s="9">
        <v>6.6174999999999997</v>
      </c>
      <c r="I8" s="9">
        <v>30.974999999999998</v>
      </c>
      <c r="J8" s="9">
        <v>554.29635694471483</v>
      </c>
      <c r="K8" s="9">
        <v>278.54088288679139</v>
      </c>
      <c r="L8" s="9">
        <v>26.181227371280123</v>
      </c>
      <c r="M8" s="9">
        <v>6803.5950974466432</v>
      </c>
      <c r="N8" s="9">
        <v>1.058690228537128</v>
      </c>
      <c r="O8" s="9">
        <v>10.166407100511641</v>
      </c>
      <c r="P8" s="9">
        <v>56.092210676792156</v>
      </c>
      <c r="Q8" s="9">
        <v>28.187040541101585</v>
      </c>
      <c r="R8" s="12" t="s">
        <v>565</v>
      </c>
      <c r="S8" t="s">
        <v>557</v>
      </c>
      <c r="T8" t="s">
        <v>575</v>
      </c>
      <c r="U8" t="s">
        <v>555</v>
      </c>
      <c r="V8" t="s">
        <v>698</v>
      </c>
      <c r="W8" s="12">
        <v>0.56494999999999707</v>
      </c>
      <c r="X8" s="12">
        <v>4.0999999999999996</v>
      </c>
      <c r="Y8" s="12">
        <v>-16.100000000000001</v>
      </c>
      <c r="Z8" s="12">
        <v>-5.1999999999999993</v>
      </c>
      <c r="AA8" s="12">
        <v>-10</v>
      </c>
      <c r="AB8" s="10">
        <f t="shared" si="0"/>
        <v>16.675269701739225</v>
      </c>
      <c r="AD8" s="12"/>
      <c r="AE8" s="12"/>
      <c r="AF8" s="12"/>
      <c r="AG8" s="12"/>
      <c r="AH8" s="12"/>
    </row>
    <row r="9" spans="1:34" x14ac:dyDescent="0.25">
      <c r="A9" t="s">
        <v>14</v>
      </c>
      <c r="B9" s="2"/>
      <c r="C9" s="2" t="s">
        <v>742</v>
      </c>
      <c r="D9" s="8" t="s">
        <v>741</v>
      </c>
      <c r="E9" t="s">
        <v>15</v>
      </c>
      <c r="F9" s="9">
        <v>56.866666666666667</v>
      </c>
      <c r="G9" s="9">
        <v>15574</v>
      </c>
      <c r="H9" s="9">
        <v>7.4266666666666667</v>
      </c>
      <c r="I9" s="9">
        <v>29.600000000000005</v>
      </c>
      <c r="J9" s="9">
        <v>549.10639306645851</v>
      </c>
      <c r="K9" s="9">
        <v>275.93286083741634</v>
      </c>
      <c r="L9" s="9">
        <v>3.3857544703261255</v>
      </c>
      <c r="M9" s="9">
        <v>5149.6434828053871</v>
      </c>
      <c r="N9" s="9">
        <v>1.0128343069492356</v>
      </c>
      <c r="O9" s="9">
        <v>13.85676729977088</v>
      </c>
      <c r="P9" s="9">
        <v>88.319006844806665</v>
      </c>
      <c r="Q9" s="9">
        <v>44.381410474777219</v>
      </c>
      <c r="R9" s="12" t="s">
        <v>562</v>
      </c>
      <c r="S9" t="s">
        <v>550</v>
      </c>
      <c r="T9" t="s">
        <v>574</v>
      </c>
      <c r="U9" t="s">
        <v>551</v>
      </c>
      <c r="V9" t="s">
        <v>700</v>
      </c>
      <c r="W9" s="12">
        <v>1.6358049999999931</v>
      </c>
      <c r="X9" s="12">
        <v>2.7</v>
      </c>
      <c r="Y9" s="12">
        <v>-9.8000000000000007</v>
      </c>
      <c r="Z9" s="12">
        <v>-7.8999999999999986</v>
      </c>
      <c r="AA9" s="12">
        <v>-7</v>
      </c>
      <c r="AB9" s="10">
        <f t="shared" si="0"/>
        <v>35.633024282619672</v>
      </c>
      <c r="AD9" s="12"/>
      <c r="AE9" s="12"/>
      <c r="AF9" s="12"/>
      <c r="AG9" s="12"/>
      <c r="AH9" s="12"/>
    </row>
    <row r="10" spans="1:34" x14ac:dyDescent="0.25">
      <c r="A10" t="s">
        <v>16</v>
      </c>
      <c r="B10" s="2"/>
      <c r="C10" s="2"/>
      <c r="D10" s="8" t="s">
        <v>741</v>
      </c>
      <c r="E10" t="s">
        <v>17</v>
      </c>
      <c r="F10" s="9">
        <v>70.2</v>
      </c>
      <c r="G10" s="9">
        <v>17200</v>
      </c>
      <c r="H10" s="9">
        <v>7.85</v>
      </c>
      <c r="I10" s="9">
        <v>31.9</v>
      </c>
      <c r="J10" s="9">
        <v>539.18495297805646</v>
      </c>
      <c r="K10" s="9">
        <v>270.94721255178717</v>
      </c>
      <c r="L10" s="9">
        <v>4.4547727214752477</v>
      </c>
      <c r="M10" s="9">
        <v>6989.0434252478353</v>
      </c>
      <c r="N10" s="9">
        <v>0.10606601717798238</v>
      </c>
      <c r="O10" s="9">
        <v>14.919953083036123</v>
      </c>
      <c r="P10" s="9">
        <v>283.65391748602815</v>
      </c>
      <c r="Q10" s="9">
        <v>142.53965702815486</v>
      </c>
      <c r="R10" s="12" t="s">
        <v>556</v>
      </c>
      <c r="S10" t="s">
        <v>685</v>
      </c>
      <c r="T10" t="s">
        <v>574</v>
      </c>
      <c r="U10" t="s">
        <v>551</v>
      </c>
      <c r="V10" t="s">
        <v>702</v>
      </c>
      <c r="W10" s="12">
        <v>-1.1326150000000053</v>
      </c>
      <c r="X10" s="12">
        <v>0.4</v>
      </c>
      <c r="Y10" s="12">
        <v>-15.4</v>
      </c>
      <c r="Z10" s="12">
        <v>-9.1</v>
      </c>
      <c r="AA10" s="12">
        <v>-10</v>
      </c>
      <c r="AB10" s="10">
        <f t="shared" si="0"/>
        <v>122.71143499536514</v>
      </c>
      <c r="AD10" s="12"/>
      <c r="AE10" s="12"/>
      <c r="AF10" s="12"/>
      <c r="AG10" s="12"/>
      <c r="AH10" s="12"/>
    </row>
    <row r="11" spans="1:34" x14ac:dyDescent="0.25">
      <c r="A11" t="s">
        <v>18</v>
      </c>
      <c r="B11" s="2" t="s">
        <v>742</v>
      </c>
      <c r="C11" s="2" t="s">
        <v>742</v>
      </c>
      <c r="D11" s="8" t="s">
        <v>741</v>
      </c>
      <c r="E11" t="s">
        <v>19</v>
      </c>
      <c r="F11" s="9">
        <v>58.774999999999991</v>
      </c>
      <c r="G11" s="9">
        <v>16595.5</v>
      </c>
      <c r="H11" s="9">
        <v>7.6199999999999992</v>
      </c>
      <c r="I11" s="9">
        <v>31.45</v>
      </c>
      <c r="J11" s="9">
        <v>520.481328238831</v>
      </c>
      <c r="K11" s="9">
        <v>261.54840615016633</v>
      </c>
      <c r="L11" s="9">
        <v>20.379953385618933</v>
      </c>
      <c r="M11" s="9">
        <v>5727.8571618596307</v>
      </c>
      <c r="N11" s="9">
        <v>1.8494864151974753</v>
      </c>
      <c r="O11" s="9">
        <v>8.558231904624547</v>
      </c>
      <c r="P11" s="9">
        <v>75.560073290099737</v>
      </c>
      <c r="Q11" s="9">
        <v>37.969886075427006</v>
      </c>
      <c r="R11" s="12" t="s">
        <v>556</v>
      </c>
      <c r="S11" t="s">
        <v>650</v>
      </c>
      <c r="T11" t="s">
        <v>574</v>
      </c>
      <c r="U11" t="s">
        <v>583</v>
      </c>
      <c r="V11" t="s">
        <v>702</v>
      </c>
      <c r="W11" s="12">
        <v>-1.1326150000000053</v>
      </c>
      <c r="X11" s="12">
        <v>5.0999999999999996</v>
      </c>
      <c r="Y11" s="12">
        <v>-7.4</v>
      </c>
      <c r="Z11" s="12">
        <v>-9.1</v>
      </c>
      <c r="AA11" s="12">
        <v>-7</v>
      </c>
      <c r="AB11" s="10">
        <f t="shared" si="0"/>
        <v>9.731552634269871</v>
      </c>
      <c r="AD11" s="12"/>
      <c r="AE11" s="12"/>
      <c r="AF11" s="12"/>
      <c r="AG11" s="12"/>
      <c r="AH11" s="12"/>
    </row>
    <row r="12" spans="1:34" x14ac:dyDescent="0.25">
      <c r="A12" t="s">
        <v>20</v>
      </c>
      <c r="B12" s="2" t="s">
        <v>742</v>
      </c>
      <c r="C12" s="2"/>
      <c r="D12" s="8" t="s">
        <v>741</v>
      </c>
      <c r="E12" t="s">
        <v>21</v>
      </c>
      <c r="F12" s="9">
        <v>62.225000000000001</v>
      </c>
      <c r="G12" s="9">
        <v>27975</v>
      </c>
      <c r="H12" s="9">
        <v>7.24</v>
      </c>
      <c r="I12" s="9">
        <v>55.65</v>
      </c>
      <c r="J12" s="9">
        <v>508.76678570490719</v>
      </c>
      <c r="K12" s="9">
        <v>255.66170135924986</v>
      </c>
      <c r="L12" s="9">
        <v>18.648927583107827</v>
      </c>
      <c r="M12" s="9">
        <v>5395.9089441291844</v>
      </c>
      <c r="N12" s="9">
        <v>0.64161255183067223</v>
      </c>
      <c r="O12" s="9">
        <v>10.303559255584123</v>
      </c>
      <c r="P12" s="9">
        <v>104.12249816857661</v>
      </c>
      <c r="Q12" s="9">
        <v>52.322863401294782</v>
      </c>
      <c r="R12" s="12" t="s">
        <v>558</v>
      </c>
      <c r="S12" t="s">
        <v>550</v>
      </c>
      <c r="T12" t="s">
        <v>574</v>
      </c>
      <c r="U12" t="s">
        <v>551</v>
      </c>
      <c r="V12" t="s">
        <v>702</v>
      </c>
      <c r="W12" s="12">
        <v>-1.1326150000000053</v>
      </c>
      <c r="X12" s="12">
        <v>2.7</v>
      </c>
      <c r="Y12" s="12">
        <v>-9.8000000000000007</v>
      </c>
      <c r="Z12" s="12">
        <v>-2.5</v>
      </c>
      <c r="AA12" s="12">
        <v>-7</v>
      </c>
      <c r="AB12" s="10">
        <f t="shared" si="0"/>
        <v>6.9617101522619462</v>
      </c>
      <c r="AD12" s="12"/>
      <c r="AE12" s="12"/>
      <c r="AF12" s="12"/>
      <c r="AG12" s="12"/>
      <c r="AH12" s="12"/>
    </row>
    <row r="13" spans="1:34" x14ac:dyDescent="0.25">
      <c r="A13" t="s">
        <v>22</v>
      </c>
      <c r="B13" s="2" t="s">
        <v>742</v>
      </c>
      <c r="C13" s="2" t="s">
        <v>742</v>
      </c>
      <c r="D13" s="8" t="s">
        <v>741</v>
      </c>
      <c r="E13" t="s">
        <v>23</v>
      </c>
      <c r="F13" s="9">
        <v>85.399999999999991</v>
      </c>
      <c r="G13" s="9">
        <v>23266.666666666668</v>
      </c>
      <c r="H13" s="9">
        <v>7.7266666666666666</v>
      </c>
      <c r="I13" s="9">
        <v>47.866666666666674</v>
      </c>
      <c r="J13" s="9">
        <v>490.71953529698749</v>
      </c>
      <c r="K13" s="9">
        <v>246.59273130501884</v>
      </c>
      <c r="L13" s="9">
        <v>11.407015385279474</v>
      </c>
      <c r="M13" s="9">
        <v>2157.1586249817915</v>
      </c>
      <c r="N13" s="9">
        <v>0.72590173807019753</v>
      </c>
      <c r="O13" s="9">
        <v>8.0307741428415209</v>
      </c>
      <c r="P13" s="9">
        <v>41.802204819836192</v>
      </c>
      <c r="Q13" s="9">
        <v>21.006133075294567</v>
      </c>
      <c r="R13" s="12" t="s">
        <v>553</v>
      </c>
      <c r="S13" t="s">
        <v>559</v>
      </c>
      <c r="T13" t="s">
        <v>579</v>
      </c>
      <c r="U13" t="s">
        <v>560</v>
      </c>
      <c r="V13" t="s">
        <v>701</v>
      </c>
      <c r="W13" s="12">
        <v>0.25460499999999592</v>
      </c>
      <c r="X13" s="12">
        <v>2.2000000000000002</v>
      </c>
      <c r="Y13" s="12">
        <v>-18</v>
      </c>
      <c r="Z13" s="12">
        <v>-3.8000000000000007</v>
      </c>
      <c r="AA13" s="12">
        <v>-10</v>
      </c>
      <c r="AB13" s="10">
        <f t="shared" si="0"/>
        <v>34.705534358923643</v>
      </c>
      <c r="AD13" s="12"/>
      <c r="AE13" s="12"/>
      <c r="AF13" s="12"/>
      <c r="AG13" s="12"/>
      <c r="AH13" s="12"/>
    </row>
    <row r="14" spans="1:34" x14ac:dyDescent="0.25">
      <c r="A14" t="s">
        <v>24</v>
      </c>
      <c r="B14" s="2"/>
      <c r="C14" s="2"/>
      <c r="D14" s="8" t="s">
        <v>741</v>
      </c>
      <c r="E14" t="s">
        <v>25</v>
      </c>
      <c r="F14" s="9">
        <v>75.400000000000006</v>
      </c>
      <c r="G14" s="9">
        <v>15300</v>
      </c>
      <c r="H14" s="9">
        <v>10.199999999999999</v>
      </c>
      <c r="I14" s="9">
        <v>31.4</v>
      </c>
      <c r="J14" s="9">
        <v>487.26114649681529</v>
      </c>
      <c r="K14" s="9">
        <v>244.85484748583684</v>
      </c>
      <c r="L14" s="9">
        <v>2.8284271247461903</v>
      </c>
      <c r="M14" s="9">
        <v>848.52813742385706</v>
      </c>
      <c r="N14" s="9">
        <v>1.2020815280171302</v>
      </c>
      <c r="O14" s="9">
        <v>5.8689862838483968</v>
      </c>
      <c r="P14" s="9">
        <v>93.406980424833733</v>
      </c>
      <c r="Q14" s="9">
        <v>46.938181118006902</v>
      </c>
      <c r="R14" s="12" t="s">
        <v>552</v>
      </c>
      <c r="S14" t="s">
        <v>561</v>
      </c>
      <c r="T14" t="s">
        <v>586</v>
      </c>
      <c r="U14" t="s">
        <v>560</v>
      </c>
      <c r="V14" t="s">
        <v>701</v>
      </c>
      <c r="W14" s="12">
        <v>0.25460499999999592</v>
      </c>
      <c r="X14" s="12">
        <v>2.2000000000000002</v>
      </c>
      <c r="Y14" s="12">
        <v>-8.6999999999999993</v>
      </c>
      <c r="Z14" s="12">
        <v>-9.4000000000000021</v>
      </c>
      <c r="AA14" s="12">
        <v>-7.6000000000000005</v>
      </c>
      <c r="AB14" s="10">
        <f t="shared" si="0"/>
        <v>47.922257449376524</v>
      </c>
      <c r="AD14" s="12"/>
      <c r="AE14" s="12"/>
      <c r="AF14" s="12"/>
      <c r="AG14" s="12"/>
      <c r="AH14" s="12"/>
    </row>
    <row r="15" spans="1:34" x14ac:dyDescent="0.25">
      <c r="A15" t="s">
        <v>26</v>
      </c>
      <c r="B15" s="2"/>
      <c r="C15" s="2"/>
      <c r="D15" s="8" t="s">
        <v>741</v>
      </c>
      <c r="E15" t="s">
        <v>27</v>
      </c>
      <c r="F15" s="9">
        <v>63.949999999999996</v>
      </c>
      <c r="G15" s="9">
        <v>17950</v>
      </c>
      <c r="H15" s="9">
        <v>7.6950000000000003</v>
      </c>
      <c r="I15" s="9">
        <v>36.15</v>
      </c>
      <c r="J15" s="9">
        <v>487.12981433174775</v>
      </c>
      <c r="K15" s="9">
        <v>244.78885142298881</v>
      </c>
      <c r="L15" s="9">
        <v>41.931432124362267</v>
      </c>
      <c r="M15" s="9">
        <v>10677.312395916868</v>
      </c>
      <c r="N15" s="9">
        <v>2.3970919882223982</v>
      </c>
      <c r="O15" s="9">
        <v>2.6162950903902278</v>
      </c>
      <c r="P15" s="9">
        <v>260.10614258085803</v>
      </c>
      <c r="Q15" s="9">
        <v>130.70660431198897</v>
      </c>
      <c r="R15" s="12" t="s">
        <v>565</v>
      </c>
      <c r="S15" t="s">
        <v>550</v>
      </c>
      <c r="T15" t="s">
        <v>574</v>
      </c>
      <c r="U15" t="s">
        <v>551</v>
      </c>
      <c r="V15" t="s">
        <v>702</v>
      </c>
      <c r="W15" s="12">
        <v>-1.1326150000000053</v>
      </c>
      <c r="X15" s="12">
        <v>2.7</v>
      </c>
      <c r="Y15" s="12">
        <v>-9.8000000000000007</v>
      </c>
      <c r="Z15" s="12">
        <v>-5.1999999999999993</v>
      </c>
      <c r="AA15" s="12">
        <v>-7</v>
      </c>
      <c r="AB15" s="10">
        <f t="shared" si="0"/>
        <v>15.806431563375892</v>
      </c>
      <c r="AD15" s="12"/>
      <c r="AE15" s="12"/>
      <c r="AF15" s="12"/>
      <c r="AG15" s="12"/>
      <c r="AH15" s="12"/>
    </row>
    <row r="16" spans="1:34" x14ac:dyDescent="0.25">
      <c r="A16" t="s">
        <v>28</v>
      </c>
      <c r="B16" s="2"/>
      <c r="C16" s="2"/>
      <c r="D16" s="8" t="s">
        <v>742</v>
      </c>
      <c r="E16" t="s">
        <v>29</v>
      </c>
      <c r="F16" s="9">
        <v>77.333333333333329</v>
      </c>
      <c r="G16" s="9">
        <v>18666.666666666668</v>
      </c>
      <c r="H16" s="9">
        <v>7.6433333333333335</v>
      </c>
      <c r="I16" s="9">
        <v>39.6</v>
      </c>
      <c r="J16" s="9">
        <v>471.0782598997227</v>
      </c>
      <c r="K16" s="9">
        <v>236.72274366820236</v>
      </c>
      <c r="L16" s="9">
        <v>10.864774886454615</v>
      </c>
      <c r="M16" s="9">
        <v>8857.3886294625972</v>
      </c>
      <c r="N16" s="9">
        <v>1.5614202936215915</v>
      </c>
      <c r="O16" s="9">
        <v>8.3624159188598295</v>
      </c>
      <c r="P16" s="9">
        <v>191.36342302690423</v>
      </c>
      <c r="Q16" s="9">
        <v>96.162524134122734</v>
      </c>
      <c r="R16" s="12" t="s">
        <v>562</v>
      </c>
      <c r="S16" t="s">
        <v>557</v>
      </c>
      <c r="T16" t="s">
        <v>575</v>
      </c>
      <c r="U16" t="s">
        <v>555</v>
      </c>
      <c r="V16" t="s">
        <v>698</v>
      </c>
      <c r="W16" s="12">
        <v>0.56494999999999707</v>
      </c>
      <c r="X16" s="12">
        <v>4.0999999999999996</v>
      </c>
      <c r="Y16" s="12">
        <v>-16.100000000000001</v>
      </c>
      <c r="Z16" s="12">
        <v>-6.0999999999999979</v>
      </c>
      <c r="AA16" s="12">
        <v>-10</v>
      </c>
      <c r="AB16" s="10">
        <f t="shared" si="0"/>
        <v>17.118765386039435</v>
      </c>
      <c r="AD16" s="12"/>
      <c r="AE16" s="12"/>
      <c r="AF16" s="12"/>
      <c r="AG16" s="12"/>
      <c r="AH16" s="12"/>
    </row>
    <row r="17" spans="1:34" x14ac:dyDescent="0.25">
      <c r="A17" t="s">
        <v>30</v>
      </c>
      <c r="B17" s="2"/>
      <c r="C17" s="2"/>
      <c r="D17" s="8" t="s">
        <v>741</v>
      </c>
      <c r="E17" t="s">
        <v>31</v>
      </c>
      <c r="F17" s="9">
        <v>59.3</v>
      </c>
      <c r="G17" s="9">
        <v>12600</v>
      </c>
      <c r="H17" s="9">
        <v>8.1199999999999992</v>
      </c>
      <c r="I17" s="9">
        <v>26.8</v>
      </c>
      <c r="J17" s="9">
        <v>470.14925373134326</v>
      </c>
      <c r="K17" s="9">
        <v>236.25590639765994</v>
      </c>
      <c r="L17" s="9">
        <v>8.1317279836452965</v>
      </c>
      <c r="M17" s="9">
        <v>636.3961030678928</v>
      </c>
      <c r="N17" s="9">
        <v>1.1808683245815343</v>
      </c>
      <c r="O17" s="9">
        <v>9.4752308678997466</v>
      </c>
      <c r="P17" s="9">
        <v>94.984492995207944</v>
      </c>
      <c r="Q17" s="9">
        <v>47.73090100261706</v>
      </c>
      <c r="R17" s="12" t="s">
        <v>556</v>
      </c>
      <c r="S17" t="s">
        <v>563</v>
      </c>
      <c r="T17" t="s">
        <v>574</v>
      </c>
      <c r="U17" t="s">
        <v>560</v>
      </c>
      <c r="V17" t="s">
        <v>702</v>
      </c>
      <c r="W17" s="12">
        <v>-1.1326150000000053</v>
      </c>
      <c r="X17" s="12">
        <v>5.5</v>
      </c>
      <c r="Y17" s="12">
        <v>-7</v>
      </c>
      <c r="Z17" s="12">
        <v>-9.1000000000000014</v>
      </c>
      <c r="AA17" s="12">
        <v>-7</v>
      </c>
      <c r="AB17" s="10">
        <f t="shared" si="0"/>
        <v>7.9609384467436373</v>
      </c>
      <c r="AD17" s="12"/>
      <c r="AE17" s="12"/>
      <c r="AF17" s="12"/>
      <c r="AG17" s="12"/>
      <c r="AH17" s="12"/>
    </row>
    <row r="18" spans="1:34" x14ac:dyDescent="0.25">
      <c r="A18" t="s">
        <v>32</v>
      </c>
      <c r="B18" s="2" t="s">
        <v>742</v>
      </c>
      <c r="C18" s="2" t="s">
        <v>742</v>
      </c>
      <c r="D18" s="8" t="s">
        <v>741</v>
      </c>
      <c r="E18" t="s">
        <v>33</v>
      </c>
      <c r="F18" s="9">
        <v>68.733333333333334</v>
      </c>
      <c r="G18" s="9">
        <v>12966.666666666666</v>
      </c>
      <c r="H18" s="9">
        <v>7.62</v>
      </c>
      <c r="I18" s="9">
        <v>28.5</v>
      </c>
      <c r="J18" s="9">
        <v>460.93820099936306</v>
      </c>
      <c r="K18" s="9">
        <v>231.62723668309701</v>
      </c>
      <c r="L18" s="9">
        <v>20.412332873371771</v>
      </c>
      <c r="M18" s="9">
        <v>1106.0440015358038</v>
      </c>
      <c r="N18" s="9">
        <v>0.81461647417665217</v>
      </c>
      <c r="O18" s="9">
        <v>4.911211663123459</v>
      </c>
      <c r="P18" s="9">
        <v>55.842553918962658</v>
      </c>
      <c r="Q18" s="9">
        <v>28.061584883900831</v>
      </c>
      <c r="R18" s="12" t="s">
        <v>553</v>
      </c>
      <c r="S18" t="s">
        <v>669</v>
      </c>
      <c r="T18" t="s">
        <v>574</v>
      </c>
      <c r="U18" t="s">
        <v>560</v>
      </c>
      <c r="V18" t="s">
        <v>701</v>
      </c>
      <c r="W18" s="12">
        <v>0.25460499999999592</v>
      </c>
      <c r="X18" s="12">
        <v>2.2000000000000002</v>
      </c>
      <c r="Y18" s="12">
        <v>-13.600000000000001</v>
      </c>
      <c r="Z18" s="12">
        <v>-3.7999999999999972</v>
      </c>
      <c r="AA18" s="12">
        <v>-10</v>
      </c>
      <c r="AB18" s="10">
        <f t="shared" si="0"/>
        <v>34.705534358923636</v>
      </c>
      <c r="AD18" s="12"/>
      <c r="AE18" s="12"/>
      <c r="AF18" s="12"/>
      <c r="AG18" s="12"/>
      <c r="AH18" s="12"/>
    </row>
    <row r="19" spans="1:34" x14ac:dyDescent="0.25">
      <c r="A19" t="s">
        <v>34</v>
      </c>
      <c r="B19" s="2"/>
      <c r="C19" s="2"/>
      <c r="D19" s="8" t="s">
        <v>742</v>
      </c>
      <c r="E19" t="s">
        <v>35</v>
      </c>
      <c r="F19" s="9">
        <v>88.533333333333346</v>
      </c>
      <c r="G19" s="9">
        <v>23700</v>
      </c>
      <c r="H19" s="9">
        <v>8.65</v>
      </c>
      <c r="I19" s="9">
        <v>53.233333333333327</v>
      </c>
      <c r="J19" s="9">
        <v>450.7283524123979</v>
      </c>
      <c r="K19" s="9">
        <v>226.49665950371752</v>
      </c>
      <c r="L19" s="9">
        <v>8.5978679527737203</v>
      </c>
      <c r="M19" s="9">
        <v>4731.8072657283919</v>
      </c>
      <c r="N19" s="9">
        <v>1.6290794946840401</v>
      </c>
      <c r="O19" s="9">
        <v>13.587616911487235</v>
      </c>
      <c r="P19" s="9">
        <v>35.129998355093598</v>
      </c>
      <c r="Q19" s="9">
        <v>17.653265505072159</v>
      </c>
      <c r="R19" s="12" t="s">
        <v>553</v>
      </c>
      <c r="S19" t="s">
        <v>557</v>
      </c>
      <c r="T19" t="s">
        <v>575</v>
      </c>
      <c r="U19" t="s">
        <v>555</v>
      </c>
      <c r="V19" t="s">
        <v>698</v>
      </c>
      <c r="W19" s="12">
        <v>0.56494999999999707</v>
      </c>
      <c r="X19" s="12">
        <v>4.0999999999999996</v>
      </c>
      <c r="Y19" s="12">
        <v>-16.100000000000001</v>
      </c>
      <c r="Z19" s="12">
        <v>-4.2999999999999972</v>
      </c>
      <c r="AA19" s="12">
        <v>-10</v>
      </c>
      <c r="AB19" s="10">
        <f t="shared" si="0"/>
        <v>16.054249128272971</v>
      </c>
      <c r="AD19" s="12"/>
      <c r="AE19" s="12"/>
      <c r="AF19" s="12"/>
      <c r="AG19" s="12"/>
      <c r="AH19" s="12"/>
    </row>
    <row r="20" spans="1:34" x14ac:dyDescent="0.25">
      <c r="A20" t="s">
        <v>36</v>
      </c>
      <c r="B20" s="2" t="s">
        <v>742</v>
      </c>
      <c r="C20" s="2" t="s">
        <v>742</v>
      </c>
      <c r="D20" s="8" t="s">
        <v>741</v>
      </c>
      <c r="E20" t="s">
        <v>37</v>
      </c>
      <c r="F20" s="9">
        <v>64.5</v>
      </c>
      <c r="G20" s="9">
        <v>18750</v>
      </c>
      <c r="H20" s="9">
        <v>7.1974999999999998</v>
      </c>
      <c r="I20" s="9">
        <v>42.224999999999994</v>
      </c>
      <c r="J20" s="9">
        <v>440.89192795553299</v>
      </c>
      <c r="K20" s="9">
        <v>221.55373264097136</v>
      </c>
      <c r="L20" s="9">
        <v>22.432565613411231</v>
      </c>
      <c r="M20" s="9">
        <v>4215.447781671598</v>
      </c>
      <c r="N20" s="9">
        <v>1.1620491957457408</v>
      </c>
      <c r="O20" s="9">
        <v>6.1748819152002827</v>
      </c>
      <c r="P20" s="9">
        <v>58.098776082996331</v>
      </c>
      <c r="Q20" s="9">
        <v>29.195364865827301</v>
      </c>
      <c r="R20" s="12" t="s">
        <v>553</v>
      </c>
      <c r="S20" t="s">
        <v>584</v>
      </c>
      <c r="T20" t="s">
        <v>585</v>
      </c>
      <c r="U20" t="s">
        <v>551</v>
      </c>
      <c r="V20" t="s">
        <v>701</v>
      </c>
      <c r="W20" s="12">
        <v>0.25460499999999592</v>
      </c>
      <c r="X20" s="12">
        <v>0.2</v>
      </c>
      <c r="Y20" s="12">
        <v>-23.299999999999997</v>
      </c>
      <c r="Z20" s="12">
        <v>-3.8000000000000043</v>
      </c>
      <c r="AA20" s="12">
        <v>-9.8999999999999986</v>
      </c>
      <c r="AB20" s="10">
        <f t="shared" si="0"/>
        <v>60.010656912593966</v>
      </c>
      <c r="AD20" s="12"/>
      <c r="AE20" s="12"/>
      <c r="AF20" s="12"/>
      <c r="AG20" s="12"/>
      <c r="AH20" s="12"/>
    </row>
    <row r="21" spans="1:34" x14ac:dyDescent="0.25">
      <c r="A21" t="s">
        <v>38</v>
      </c>
      <c r="B21" s="2"/>
      <c r="C21" s="2"/>
      <c r="D21" s="8" t="s">
        <v>741</v>
      </c>
      <c r="E21" t="s">
        <v>39</v>
      </c>
      <c r="F21" s="9">
        <v>82</v>
      </c>
      <c r="G21" s="9">
        <v>21900</v>
      </c>
      <c r="H21" s="9">
        <v>8.1533333333333342</v>
      </c>
      <c r="I21" s="9">
        <v>50.866666666666667</v>
      </c>
      <c r="J21" s="9">
        <v>433.52755727930526</v>
      </c>
      <c r="K21" s="9">
        <v>217.85304385894736</v>
      </c>
      <c r="L21" s="9">
        <v>8.0517078933602644</v>
      </c>
      <c r="M21" s="9">
        <v>3686.4617182333523</v>
      </c>
      <c r="N21" s="9">
        <v>0.2800595174839331</v>
      </c>
      <c r="O21" s="9">
        <v>11.06541157541522</v>
      </c>
      <c r="P21" s="9">
        <v>21.897414589309722</v>
      </c>
      <c r="Q21" s="9">
        <v>11.003725924276242</v>
      </c>
      <c r="R21" s="12" t="s">
        <v>553</v>
      </c>
      <c r="S21" t="s">
        <v>550</v>
      </c>
      <c r="T21" t="s">
        <v>574</v>
      </c>
      <c r="U21" t="s">
        <v>551</v>
      </c>
      <c r="V21" t="s">
        <v>702</v>
      </c>
      <c r="W21" s="12">
        <v>-1.1326150000000053</v>
      </c>
      <c r="X21" s="12">
        <v>2.7</v>
      </c>
      <c r="Y21" s="12">
        <v>-9.8000000000000007</v>
      </c>
      <c r="Z21" s="12">
        <v>-3.7999999999999989</v>
      </c>
      <c r="AA21" s="12">
        <v>-7</v>
      </c>
      <c r="AB21" s="10">
        <f t="shared" si="0"/>
        <v>10.556826568711864</v>
      </c>
      <c r="AD21" s="12"/>
      <c r="AE21" s="12"/>
      <c r="AF21" s="12"/>
      <c r="AG21" s="12"/>
      <c r="AH21" s="12"/>
    </row>
    <row r="22" spans="1:34" x14ac:dyDescent="0.25">
      <c r="A22" t="s">
        <v>40</v>
      </c>
      <c r="B22" s="2"/>
      <c r="C22" s="2"/>
      <c r="D22" s="8" t="s">
        <v>741</v>
      </c>
      <c r="E22" t="s">
        <v>41</v>
      </c>
      <c r="F22" s="9">
        <v>56.750000000000007</v>
      </c>
      <c r="G22" s="9">
        <v>15893.25</v>
      </c>
      <c r="H22" s="9">
        <v>7.0749999999999993</v>
      </c>
      <c r="I22" s="9">
        <v>36.325000000000003</v>
      </c>
      <c r="J22" s="9">
        <v>431.04249870051115</v>
      </c>
      <c r="K22" s="9">
        <v>216.60427070377443</v>
      </c>
      <c r="L22" s="9">
        <v>15.084318568190797</v>
      </c>
      <c r="M22" s="9">
        <v>4346.6748498133602</v>
      </c>
      <c r="N22" s="9">
        <v>1.3829798745221644</v>
      </c>
      <c r="O22" s="9">
        <v>6.1554176679301156</v>
      </c>
      <c r="P22" s="9">
        <v>60.428616050640009</v>
      </c>
      <c r="Q22" s="9">
        <v>30.366138718914577</v>
      </c>
      <c r="R22" s="12" t="s">
        <v>576</v>
      </c>
      <c r="S22" t="s">
        <v>577</v>
      </c>
      <c r="T22" t="s">
        <v>578</v>
      </c>
      <c r="U22" t="s">
        <v>570</v>
      </c>
      <c r="V22" t="s">
        <v>706</v>
      </c>
      <c r="W22" s="12">
        <v>-0.33072499999999128</v>
      </c>
      <c r="X22" s="12">
        <v>6.2</v>
      </c>
      <c r="Y22" s="12">
        <v>-3.0000000000000009</v>
      </c>
      <c r="Z22" s="12">
        <v>-10.8</v>
      </c>
      <c r="AA22" s="12">
        <v>-7.9</v>
      </c>
      <c r="AB22" s="10">
        <f t="shared" si="0"/>
        <v>5.8034753166554536</v>
      </c>
      <c r="AD22" s="12"/>
      <c r="AE22" s="12"/>
      <c r="AF22" s="12"/>
      <c r="AG22" s="12"/>
      <c r="AH22" s="12"/>
    </row>
    <row r="23" spans="1:34" x14ac:dyDescent="0.25">
      <c r="A23" t="s">
        <v>42</v>
      </c>
      <c r="B23" s="2"/>
      <c r="C23" s="2"/>
      <c r="D23" s="8" t="s">
        <v>741</v>
      </c>
      <c r="E23" t="s">
        <v>43</v>
      </c>
      <c r="F23" s="9">
        <v>61.824999999999996</v>
      </c>
      <c r="G23" s="9">
        <v>15011.5</v>
      </c>
      <c r="H23" s="9">
        <v>7.1724999999999994</v>
      </c>
      <c r="I23" s="9">
        <v>40.099999999999994</v>
      </c>
      <c r="J23" s="9">
        <v>372.91871260522959</v>
      </c>
      <c r="K23" s="9">
        <v>187.39633799257768</v>
      </c>
      <c r="L23" s="9">
        <v>23.009472686989874</v>
      </c>
      <c r="M23" s="9">
        <v>5380.9908319317301</v>
      </c>
      <c r="N23" s="9">
        <v>1.586849604299879</v>
      </c>
      <c r="O23" s="9">
        <v>14.035193859247794</v>
      </c>
      <c r="P23" s="9">
        <v>53.108487590720131</v>
      </c>
      <c r="Q23" s="9">
        <v>26.687682206392026</v>
      </c>
      <c r="R23" s="12" t="s">
        <v>556</v>
      </c>
      <c r="S23" t="s">
        <v>550</v>
      </c>
      <c r="T23" t="s">
        <v>574</v>
      </c>
      <c r="U23" t="s">
        <v>551</v>
      </c>
      <c r="V23" t="s">
        <v>700</v>
      </c>
      <c r="W23" s="12">
        <v>1.6358049999999931</v>
      </c>
      <c r="X23" s="12">
        <v>2.7</v>
      </c>
      <c r="Y23" s="12">
        <v>-9.8000000000000007</v>
      </c>
      <c r="Z23" s="12">
        <v>-8.0999999999999979</v>
      </c>
      <c r="AA23" s="12">
        <v>-7</v>
      </c>
      <c r="AB23" s="10">
        <f t="shared" si="0"/>
        <v>36.009621616186273</v>
      </c>
      <c r="AD23" s="12"/>
      <c r="AE23" s="12"/>
      <c r="AF23" s="12"/>
      <c r="AG23" s="12"/>
      <c r="AH23" s="12"/>
    </row>
    <row r="24" spans="1:34" x14ac:dyDescent="0.25">
      <c r="A24" t="s">
        <v>44</v>
      </c>
      <c r="B24" s="2" t="s">
        <v>742</v>
      </c>
      <c r="C24" s="2" t="s">
        <v>742</v>
      </c>
      <c r="D24" s="8" t="s">
        <v>742</v>
      </c>
      <c r="E24" t="s">
        <v>45</v>
      </c>
      <c r="F24" s="9">
        <v>49.033333333333331</v>
      </c>
      <c r="G24" s="9">
        <v>13019</v>
      </c>
      <c r="H24" s="9">
        <v>14.566666666666668</v>
      </c>
      <c r="I24" s="9">
        <v>35.6</v>
      </c>
      <c r="J24" s="9">
        <v>354.09794472202043</v>
      </c>
      <c r="K24" s="9">
        <v>177.93866568945751</v>
      </c>
      <c r="L24" s="9">
        <v>23.764749805822348</v>
      </c>
      <c r="M24" s="9">
        <v>6150.2912939144599</v>
      </c>
      <c r="N24" s="9">
        <v>0.89628864398325014</v>
      </c>
      <c r="O24" s="9">
        <v>5.9025418253494752</v>
      </c>
      <c r="P24" s="9">
        <v>109.76404551967299</v>
      </c>
      <c r="Q24" s="9">
        <v>55.157811818931151</v>
      </c>
      <c r="R24" s="12" t="s">
        <v>558</v>
      </c>
      <c r="S24" t="s">
        <v>559</v>
      </c>
      <c r="T24" t="s">
        <v>579</v>
      </c>
      <c r="U24" t="s">
        <v>560</v>
      </c>
      <c r="V24" t="s">
        <v>698</v>
      </c>
      <c r="W24" s="12">
        <v>0.56494999999999707</v>
      </c>
      <c r="X24" s="12">
        <v>2.2000000000000002</v>
      </c>
      <c r="Y24" s="12">
        <v>-18</v>
      </c>
      <c r="Z24" s="12">
        <v>-2.5</v>
      </c>
      <c r="AA24" s="12">
        <v>-10</v>
      </c>
      <c r="AB24" s="10">
        <f t="shared" si="0"/>
        <v>28.922913565664725</v>
      </c>
      <c r="AD24" s="12"/>
      <c r="AE24" s="12"/>
      <c r="AF24" s="12"/>
      <c r="AG24" s="12"/>
      <c r="AH24" s="12"/>
    </row>
    <row r="25" spans="1:34" x14ac:dyDescent="0.25">
      <c r="A25" t="s">
        <v>46</v>
      </c>
      <c r="B25" s="2" t="s">
        <v>742</v>
      </c>
      <c r="C25" s="2" t="s">
        <v>742</v>
      </c>
      <c r="D25" s="8" t="s">
        <v>741</v>
      </c>
      <c r="E25" t="s">
        <v>47</v>
      </c>
      <c r="F25" s="9">
        <v>60.75</v>
      </c>
      <c r="G25" s="9">
        <v>15290</v>
      </c>
      <c r="H25" s="9">
        <v>7.7549999999999999</v>
      </c>
      <c r="I25" s="9">
        <v>43.1</v>
      </c>
      <c r="J25" s="9">
        <v>343.47133323511275</v>
      </c>
      <c r="K25" s="9">
        <v>172.5986599171421</v>
      </c>
      <c r="L25" s="9">
        <v>33.728993462598297</v>
      </c>
      <c r="M25" s="9">
        <v>8358.0021536249915</v>
      </c>
      <c r="N25" s="9">
        <v>2.368807716974934</v>
      </c>
      <c r="O25" s="9">
        <v>7.0710678118654755</v>
      </c>
      <c r="P25" s="9">
        <v>137.57060475377401</v>
      </c>
      <c r="Q25" s="9">
        <v>69.130957162700511</v>
      </c>
      <c r="R25" s="12" t="s">
        <v>553</v>
      </c>
      <c r="S25" t="s">
        <v>670</v>
      </c>
      <c r="T25" t="s">
        <v>586</v>
      </c>
      <c r="U25" t="s">
        <v>583</v>
      </c>
      <c r="V25" t="s">
        <v>701</v>
      </c>
      <c r="W25" s="12">
        <v>0.25460499999999592</v>
      </c>
      <c r="X25" s="12">
        <v>0.8</v>
      </c>
      <c r="Y25" s="12">
        <v>-10.1</v>
      </c>
      <c r="Z25" s="12">
        <v>-3.9000000000000004</v>
      </c>
      <c r="AA25" s="12">
        <v>-7.6000000000000005</v>
      </c>
      <c r="AB25" s="10">
        <f t="shared" si="0"/>
        <v>26.914512531760664</v>
      </c>
      <c r="AD25" s="12"/>
      <c r="AE25" s="12"/>
      <c r="AF25" s="12"/>
      <c r="AG25" s="12"/>
      <c r="AH25" s="12"/>
    </row>
    <row r="26" spans="1:34" x14ac:dyDescent="0.25">
      <c r="A26" t="s">
        <v>48</v>
      </c>
      <c r="B26" s="2" t="s">
        <v>742</v>
      </c>
      <c r="C26" s="2" t="s">
        <v>742</v>
      </c>
      <c r="D26" s="8" t="s">
        <v>741</v>
      </c>
      <c r="E26" t="s">
        <v>49</v>
      </c>
      <c r="F26" s="9">
        <v>65.475000000000009</v>
      </c>
      <c r="G26" s="9">
        <v>15534.5</v>
      </c>
      <c r="H26" s="9">
        <v>8.125</v>
      </c>
      <c r="I26" s="9">
        <v>45.800000000000004</v>
      </c>
      <c r="J26" s="9">
        <v>334.67935815983179</v>
      </c>
      <c r="K26" s="9">
        <v>168.18058198986523</v>
      </c>
      <c r="L26" s="9">
        <v>16.383401152792803</v>
      </c>
      <c r="M26" s="9">
        <v>7575.0265786112368</v>
      </c>
      <c r="N26" s="9">
        <v>1.9708289288181959</v>
      </c>
      <c r="O26" s="9">
        <v>5.0892042599997902</v>
      </c>
      <c r="P26" s="9">
        <v>146.8564234483884</v>
      </c>
      <c r="Q26" s="9">
        <v>73.797197712757992</v>
      </c>
      <c r="R26" s="12" t="s">
        <v>553</v>
      </c>
      <c r="S26" t="s">
        <v>563</v>
      </c>
      <c r="T26" t="s">
        <v>574</v>
      </c>
      <c r="U26" t="s">
        <v>560</v>
      </c>
      <c r="V26" t="s">
        <v>701</v>
      </c>
      <c r="W26" s="12">
        <v>0.25460499999999592</v>
      </c>
      <c r="X26" s="12">
        <v>5.5</v>
      </c>
      <c r="Y26" s="12">
        <v>-7</v>
      </c>
      <c r="Z26" s="12">
        <v>-3.8000000000000007</v>
      </c>
      <c r="AA26" s="12">
        <v>-7</v>
      </c>
      <c r="AB26" s="10">
        <f t="shared" si="0"/>
        <v>6.4748414200207449</v>
      </c>
      <c r="AD26" s="12"/>
      <c r="AE26" s="12"/>
      <c r="AF26" s="12"/>
      <c r="AG26" s="12"/>
      <c r="AH26" s="12"/>
    </row>
    <row r="27" spans="1:34" x14ac:dyDescent="0.25">
      <c r="A27" t="s">
        <v>50</v>
      </c>
      <c r="B27" s="2"/>
      <c r="C27" s="2"/>
      <c r="D27" s="8" t="s">
        <v>742</v>
      </c>
      <c r="E27" t="s">
        <v>51</v>
      </c>
      <c r="F27" s="9">
        <v>74.366666666666674</v>
      </c>
      <c r="G27" s="9">
        <v>17533.333333333332</v>
      </c>
      <c r="H27" s="9">
        <v>16.166666666666668</v>
      </c>
      <c r="I27" s="9">
        <v>54.033333333333331</v>
      </c>
      <c r="J27" s="9">
        <v>331.33093359176701</v>
      </c>
      <c r="K27" s="9">
        <v>166.4979565787774</v>
      </c>
      <c r="L27" s="9">
        <v>12.461674579820043</v>
      </c>
      <c r="M27" s="9">
        <v>5173.3290377989024</v>
      </c>
      <c r="N27" s="9">
        <v>3.5921210076128234</v>
      </c>
      <c r="O27" s="9">
        <v>20.772658311668565</v>
      </c>
      <c r="P27" s="9">
        <v>26.782007792686613</v>
      </c>
      <c r="Q27" s="9">
        <v>13.458295373209353</v>
      </c>
      <c r="R27" s="12" t="s">
        <v>558</v>
      </c>
      <c r="S27" t="s">
        <v>567</v>
      </c>
      <c r="T27" t="s">
        <v>579</v>
      </c>
      <c r="U27" t="s">
        <v>551</v>
      </c>
      <c r="V27" t="s">
        <v>698</v>
      </c>
      <c r="W27" s="12">
        <v>0.56494999999999707</v>
      </c>
      <c r="X27" s="12">
        <v>0.4</v>
      </c>
      <c r="Y27" s="12">
        <v>-19.8</v>
      </c>
      <c r="Z27" s="12">
        <v>-2.5</v>
      </c>
      <c r="AA27" s="12">
        <v>-10</v>
      </c>
      <c r="AB27" s="10">
        <f t="shared" si="0"/>
        <v>44.020772997789841</v>
      </c>
      <c r="AD27" s="12"/>
      <c r="AE27" s="12"/>
      <c r="AF27" s="12"/>
      <c r="AG27" s="12"/>
      <c r="AH27" s="12"/>
    </row>
    <row r="28" spans="1:34" x14ac:dyDescent="0.25">
      <c r="A28" t="s">
        <v>52</v>
      </c>
      <c r="B28" s="2"/>
      <c r="C28" s="2"/>
      <c r="D28" s="8" t="s">
        <v>741</v>
      </c>
      <c r="E28" t="s">
        <v>53</v>
      </c>
      <c r="F28" s="9">
        <v>75</v>
      </c>
      <c r="G28" s="9">
        <v>18300</v>
      </c>
      <c r="H28" s="9">
        <v>9.3800000000000008</v>
      </c>
      <c r="I28" s="9">
        <v>56.2</v>
      </c>
      <c r="J28" s="9">
        <v>325.62277580071174</v>
      </c>
      <c r="K28" s="9">
        <v>163.6295355782471</v>
      </c>
      <c r="L28" s="9">
        <v>9.9702056147303164</v>
      </c>
      <c r="M28" s="9">
        <v>3606.2445840513924</v>
      </c>
      <c r="N28" s="9">
        <v>0.79195959492893264</v>
      </c>
      <c r="O28" s="9">
        <v>3.6769552621700443</v>
      </c>
      <c r="P28" s="9">
        <v>78.233631319450097</v>
      </c>
      <c r="Q28" s="9">
        <v>39.31338257258799</v>
      </c>
      <c r="R28" s="12" t="s">
        <v>565</v>
      </c>
      <c r="S28" t="s">
        <v>561</v>
      </c>
      <c r="T28" t="s">
        <v>586</v>
      </c>
      <c r="U28" t="s">
        <v>560</v>
      </c>
      <c r="V28" t="s">
        <v>701</v>
      </c>
      <c r="W28" s="12">
        <v>0.25460499999999592</v>
      </c>
      <c r="X28" s="12">
        <v>2.2000000000000002</v>
      </c>
      <c r="Y28" s="12">
        <v>-8.6999999999999993</v>
      </c>
      <c r="Z28" s="12">
        <v>-5.3000000000000007</v>
      </c>
      <c r="AA28" s="12">
        <v>-7.6000000000000005</v>
      </c>
      <c r="AB28" s="10">
        <f t="shared" si="0"/>
        <v>29.460120974434492</v>
      </c>
      <c r="AD28" s="12"/>
      <c r="AE28" s="12"/>
      <c r="AF28" s="12"/>
      <c r="AG28" s="12"/>
      <c r="AH28" s="12"/>
    </row>
    <row r="29" spans="1:34" x14ac:dyDescent="0.25">
      <c r="A29" t="s">
        <v>54</v>
      </c>
      <c r="B29" s="2"/>
      <c r="C29" s="2"/>
      <c r="D29" s="8" t="s">
        <v>741</v>
      </c>
      <c r="E29" t="s">
        <v>55</v>
      </c>
      <c r="F29" s="9">
        <v>66.63333333333334</v>
      </c>
      <c r="G29" s="9">
        <v>17566.666666666668</v>
      </c>
      <c r="H29" s="9">
        <v>8.6566666666666663</v>
      </c>
      <c r="I29" s="9">
        <v>56.066666666666663</v>
      </c>
      <c r="J29" s="9">
        <v>313.48164437816541</v>
      </c>
      <c r="K29" s="9">
        <v>157.52846451164092</v>
      </c>
      <c r="L29" s="9">
        <v>12.911364503155076</v>
      </c>
      <c r="M29" s="9">
        <v>642.91005073286374</v>
      </c>
      <c r="N29" s="9">
        <v>1.2608066201179857</v>
      </c>
      <c r="O29" s="9">
        <v>2.5540817005987351</v>
      </c>
      <c r="P29" s="9">
        <v>8.7887661564213815</v>
      </c>
      <c r="Q29" s="9">
        <v>4.4164654052368748</v>
      </c>
      <c r="R29" s="12" t="s">
        <v>553</v>
      </c>
      <c r="S29" t="s">
        <v>651</v>
      </c>
      <c r="T29" t="s">
        <v>586</v>
      </c>
      <c r="U29" t="s">
        <v>551</v>
      </c>
      <c r="V29" t="s">
        <v>701</v>
      </c>
      <c r="W29" s="12">
        <v>0.25460499999999592</v>
      </c>
      <c r="X29" s="12">
        <v>0.4</v>
      </c>
      <c r="Y29" s="12">
        <v>-10.5</v>
      </c>
      <c r="Z29" s="12">
        <v>-3.9000000000000004</v>
      </c>
      <c r="AA29" s="12">
        <v>-7.6000000000000005</v>
      </c>
      <c r="AB29" s="10">
        <f t="shared" si="0"/>
        <v>28.16497220658967</v>
      </c>
      <c r="AD29" s="12"/>
      <c r="AE29" s="12"/>
      <c r="AF29" s="12"/>
      <c r="AG29" s="12"/>
      <c r="AH29" s="12"/>
    </row>
    <row r="30" spans="1:34" x14ac:dyDescent="0.25">
      <c r="A30" t="s">
        <v>56</v>
      </c>
      <c r="B30" s="2"/>
      <c r="C30" s="2"/>
      <c r="D30" s="8" t="s">
        <v>742</v>
      </c>
      <c r="E30" t="s">
        <v>57</v>
      </c>
      <c r="F30" s="9">
        <v>70.666666666666671</v>
      </c>
      <c r="G30" s="9">
        <v>20833.333333333332</v>
      </c>
      <c r="H30" s="9">
        <v>9.2066666666666652</v>
      </c>
      <c r="I30" s="9">
        <v>68.533333333333346</v>
      </c>
      <c r="J30" s="9">
        <v>313.46049867947681</v>
      </c>
      <c r="K30" s="9">
        <v>157.51783853240042</v>
      </c>
      <c r="L30" s="9">
        <v>14.159919962109006</v>
      </c>
      <c r="M30" s="9">
        <v>7102.3470299143628</v>
      </c>
      <c r="N30" s="9">
        <v>2.32725875942779</v>
      </c>
      <c r="O30" s="9">
        <v>30.974398030201186</v>
      </c>
      <c r="P30" s="9">
        <v>32.774408597539804</v>
      </c>
      <c r="Q30" s="9">
        <v>16.469552059065229</v>
      </c>
      <c r="R30" s="12" t="s">
        <v>562</v>
      </c>
      <c r="S30" t="s">
        <v>557</v>
      </c>
      <c r="T30" t="s">
        <v>575</v>
      </c>
      <c r="U30" t="s">
        <v>555</v>
      </c>
      <c r="V30" t="s">
        <v>700</v>
      </c>
      <c r="W30" s="12">
        <v>1.6358049999999931</v>
      </c>
      <c r="X30" s="12">
        <v>4.0999999999999996</v>
      </c>
      <c r="Y30" s="12">
        <v>-16.100000000000001</v>
      </c>
      <c r="Z30" s="12">
        <v>-7.8999999999999986</v>
      </c>
      <c r="AA30" s="12">
        <v>-10</v>
      </c>
      <c r="AB30" s="10">
        <f t="shared" si="0"/>
        <v>17.809567142397245</v>
      </c>
      <c r="AD30" s="12"/>
      <c r="AE30" s="12"/>
      <c r="AF30" s="12"/>
      <c r="AG30" s="12"/>
      <c r="AH30" s="12"/>
    </row>
    <row r="31" spans="1:34" x14ac:dyDescent="0.25">
      <c r="A31" t="s">
        <v>58</v>
      </c>
      <c r="B31" s="2" t="s">
        <v>742</v>
      </c>
      <c r="C31" s="2" t="s">
        <v>742</v>
      </c>
      <c r="D31" s="8" t="s">
        <v>741</v>
      </c>
      <c r="E31" t="s">
        <v>59</v>
      </c>
      <c r="F31" s="9">
        <v>67.625</v>
      </c>
      <c r="G31" s="9">
        <v>22225</v>
      </c>
      <c r="H31" s="9">
        <v>8.15</v>
      </c>
      <c r="I31" s="9">
        <v>73.674999999999997</v>
      </c>
      <c r="J31" s="9">
        <v>300.81660958090083</v>
      </c>
      <c r="K31" s="9">
        <v>151.16412541753812</v>
      </c>
      <c r="L31" s="9">
        <v>17.385314684142717</v>
      </c>
      <c r="M31" s="9">
        <v>4296.0252947734525</v>
      </c>
      <c r="N31" s="9">
        <v>2.4579802006254377</v>
      </c>
      <c r="O31" s="9">
        <v>10.310310373601776</v>
      </c>
      <c r="P31" s="9">
        <v>33.518487241463767</v>
      </c>
      <c r="Q31" s="9">
        <v>16.843460925358677</v>
      </c>
      <c r="R31" s="12" t="s">
        <v>556</v>
      </c>
      <c r="S31" t="s">
        <v>651</v>
      </c>
      <c r="T31" t="s">
        <v>586</v>
      </c>
      <c r="U31" t="s">
        <v>551</v>
      </c>
      <c r="V31" t="s">
        <v>702</v>
      </c>
      <c r="W31" s="12">
        <v>-1.1326150000000053</v>
      </c>
      <c r="X31" s="12">
        <v>0.4</v>
      </c>
      <c r="Y31" s="12">
        <v>-10.5</v>
      </c>
      <c r="Z31" s="12">
        <v>-9.1999999999999993</v>
      </c>
      <c r="AA31" s="12">
        <v>-7.6000000000000005</v>
      </c>
      <c r="AB31" s="10">
        <f t="shared" si="0"/>
        <v>87.265739282451392</v>
      </c>
      <c r="AD31" s="12"/>
      <c r="AE31" s="12"/>
      <c r="AF31" s="12"/>
      <c r="AG31" s="12"/>
      <c r="AH31" s="12"/>
    </row>
    <row r="32" spans="1:34" x14ac:dyDescent="0.25">
      <c r="A32" t="s">
        <v>60</v>
      </c>
      <c r="B32" s="2"/>
      <c r="C32" s="2"/>
      <c r="D32" s="8" t="s">
        <v>741</v>
      </c>
      <c r="E32" t="s">
        <v>61</v>
      </c>
      <c r="F32" s="9">
        <v>75.000000000000014</v>
      </c>
      <c r="G32" s="9">
        <v>18166.666666666668</v>
      </c>
      <c r="H32" s="9">
        <v>8.23</v>
      </c>
      <c r="I32" s="9">
        <v>61.733333333333327</v>
      </c>
      <c r="J32" s="9">
        <v>295.98568561133385</v>
      </c>
      <c r="K32" s="9">
        <v>148.73652543283109</v>
      </c>
      <c r="L32" s="9">
        <v>6.4210591026714585</v>
      </c>
      <c r="M32" s="9">
        <v>2909.1808698211448</v>
      </c>
      <c r="N32" s="9">
        <v>0.61245407991130196</v>
      </c>
      <c r="O32" s="9">
        <v>12.302167830644121</v>
      </c>
      <c r="P32" s="9">
        <v>14.221669222200561</v>
      </c>
      <c r="Q32" s="9">
        <v>7.1465674483419903</v>
      </c>
      <c r="R32" s="12" t="s">
        <v>556</v>
      </c>
      <c r="S32" t="s">
        <v>554</v>
      </c>
      <c r="T32" t="s">
        <v>581</v>
      </c>
      <c r="U32" t="s">
        <v>555</v>
      </c>
      <c r="V32" t="s">
        <v>702</v>
      </c>
      <c r="W32" s="12">
        <v>-1.1326150000000053</v>
      </c>
      <c r="X32" s="12">
        <v>5.3</v>
      </c>
      <c r="Y32" s="12">
        <v>-7.2</v>
      </c>
      <c r="Z32" s="12">
        <v>-9.1000000000000014</v>
      </c>
      <c r="AA32" s="12">
        <v>-7</v>
      </c>
      <c r="AB32" s="10">
        <f t="shared" si="0"/>
        <v>8.7990905473528986</v>
      </c>
      <c r="AD32" s="12"/>
      <c r="AE32" s="12"/>
      <c r="AF32" s="12"/>
      <c r="AG32" s="12"/>
      <c r="AH32" s="12"/>
    </row>
    <row r="33" spans="1:34" x14ac:dyDescent="0.25">
      <c r="A33" t="s">
        <v>62</v>
      </c>
      <c r="B33" s="2"/>
      <c r="C33" s="2"/>
      <c r="D33" s="8" t="s">
        <v>742</v>
      </c>
      <c r="E33" t="s">
        <v>63</v>
      </c>
      <c r="F33" s="9">
        <v>73.425000000000011</v>
      </c>
      <c r="G33" s="9">
        <v>17050</v>
      </c>
      <c r="H33" s="9">
        <v>7.2149999999999999</v>
      </c>
      <c r="I33" s="9">
        <v>56.6</v>
      </c>
      <c r="J33" s="9">
        <v>290.70581355422718</v>
      </c>
      <c r="K33" s="9">
        <v>146.083323394084</v>
      </c>
      <c r="L33" s="9">
        <v>11.095457028291536</v>
      </c>
      <c r="M33" s="9">
        <v>10689.71468281544</v>
      </c>
      <c r="N33" s="9">
        <v>1.6929166153909236</v>
      </c>
      <c r="O33" s="9">
        <v>11.118453129819795</v>
      </c>
      <c r="P33" s="9">
        <v>133.80685969464756</v>
      </c>
      <c r="Q33" s="9">
        <v>67.239627987260079</v>
      </c>
      <c r="R33" s="12" t="s">
        <v>556</v>
      </c>
      <c r="S33" t="s">
        <v>557</v>
      </c>
      <c r="T33" t="s">
        <v>575</v>
      </c>
      <c r="U33" t="s">
        <v>555</v>
      </c>
      <c r="V33" t="s">
        <v>698</v>
      </c>
      <c r="W33" s="12">
        <v>0.56494999999999707</v>
      </c>
      <c r="X33" s="12">
        <v>4.0999999999999996</v>
      </c>
      <c r="Y33" s="12">
        <v>-16.100000000000001</v>
      </c>
      <c r="Z33" s="12">
        <v>-6.1999999999999993</v>
      </c>
      <c r="AA33" s="12">
        <v>-10</v>
      </c>
      <c r="AB33" s="10">
        <f t="shared" si="0"/>
        <v>17.159056024845846</v>
      </c>
      <c r="AD33" s="12"/>
      <c r="AE33" s="12"/>
      <c r="AF33" s="12"/>
      <c r="AG33" s="12"/>
      <c r="AH33" s="12"/>
    </row>
    <row r="34" spans="1:34" x14ac:dyDescent="0.25">
      <c r="A34" t="s">
        <v>64</v>
      </c>
      <c r="B34" s="2" t="s">
        <v>742</v>
      </c>
      <c r="C34" s="2" t="s">
        <v>742</v>
      </c>
      <c r="D34" s="8" t="s">
        <v>742</v>
      </c>
      <c r="E34" t="s">
        <v>65</v>
      </c>
      <c r="F34" s="9">
        <v>69.733333333333334</v>
      </c>
      <c r="G34" s="9">
        <v>16233.333333333334</v>
      </c>
      <c r="H34" s="9">
        <v>17.366666666666667</v>
      </c>
      <c r="I34" s="9">
        <v>67.86666666666666</v>
      </c>
      <c r="J34" s="9">
        <v>254.83489181210916</v>
      </c>
      <c r="K34" s="9">
        <v>128.05773457894932</v>
      </c>
      <c r="L34" s="9">
        <v>24.949215084513863</v>
      </c>
      <c r="M34" s="9">
        <v>3932.3445084749778</v>
      </c>
      <c r="N34" s="9">
        <v>3.0746273486933857</v>
      </c>
      <c r="O34" s="9">
        <v>27.637353949561323</v>
      </c>
      <c r="P34" s="9">
        <v>85.096198617642102</v>
      </c>
      <c r="Q34" s="9">
        <v>42.761908853086481</v>
      </c>
      <c r="R34" s="12" t="s">
        <v>558</v>
      </c>
      <c r="S34" t="s">
        <v>580</v>
      </c>
      <c r="T34" t="s">
        <v>581</v>
      </c>
      <c r="U34" t="s">
        <v>555</v>
      </c>
      <c r="V34" t="s">
        <v>698</v>
      </c>
      <c r="W34" s="12">
        <v>0.56494999999999707</v>
      </c>
      <c r="X34" s="12">
        <v>4.0999999999999996</v>
      </c>
      <c r="Y34" s="12">
        <v>-11.700000000000001</v>
      </c>
      <c r="Z34" s="12">
        <v>-2.4999999999999982</v>
      </c>
      <c r="AA34" s="12">
        <v>-10</v>
      </c>
      <c r="AB34" s="10">
        <f t="shared" si="0"/>
        <v>14.108245594608656</v>
      </c>
      <c r="AD34" s="12"/>
      <c r="AE34" s="12"/>
      <c r="AF34" s="12"/>
      <c r="AG34" s="12"/>
      <c r="AH34" s="12"/>
    </row>
    <row r="35" spans="1:34" x14ac:dyDescent="0.25">
      <c r="A35" t="s">
        <v>66</v>
      </c>
      <c r="B35" s="2"/>
      <c r="C35" s="2"/>
      <c r="D35" s="8" t="s">
        <v>741</v>
      </c>
      <c r="E35" t="s">
        <v>67</v>
      </c>
      <c r="F35" s="9">
        <v>55.174999999999997</v>
      </c>
      <c r="G35" s="9">
        <v>16166.666666666666</v>
      </c>
      <c r="H35" s="9">
        <v>10.0525</v>
      </c>
      <c r="I35" s="9">
        <v>64.633333333333326</v>
      </c>
      <c r="J35" s="9">
        <v>253.67276610295775</v>
      </c>
      <c r="K35" s="9">
        <v>127.47375181053154</v>
      </c>
      <c r="L35" s="9">
        <v>16.530250048522149</v>
      </c>
      <c r="M35" s="9">
        <v>1594.7831618540915</v>
      </c>
      <c r="N35" s="9">
        <v>3.3071777998771124</v>
      </c>
      <c r="O35" s="9">
        <v>9.3001792097429821</v>
      </c>
      <c r="P35" s="9">
        <v>42.732156049791868</v>
      </c>
      <c r="Q35" s="9">
        <v>21.473445251151691</v>
      </c>
      <c r="R35" s="12" t="s">
        <v>556</v>
      </c>
      <c r="S35" t="s">
        <v>584</v>
      </c>
      <c r="T35" t="s">
        <v>585</v>
      </c>
      <c r="U35" t="s">
        <v>551</v>
      </c>
      <c r="V35" t="s">
        <v>702</v>
      </c>
      <c r="W35" s="12">
        <v>-1.1326150000000053</v>
      </c>
      <c r="X35" s="12">
        <v>0.2</v>
      </c>
      <c r="Y35" s="12">
        <v>-23.299999999999997</v>
      </c>
      <c r="Z35" s="12">
        <v>-9.1000000000000014</v>
      </c>
      <c r="AA35" s="12">
        <v>-9.8999999999999986</v>
      </c>
      <c r="AB35" s="10">
        <f t="shared" si="0"/>
        <v>132.89808019348155</v>
      </c>
      <c r="AD35" s="12"/>
      <c r="AE35" s="12"/>
      <c r="AF35" s="12"/>
      <c r="AG35" s="12"/>
      <c r="AH35" s="12"/>
    </row>
    <row r="36" spans="1:34" x14ac:dyDescent="0.25">
      <c r="A36" t="s">
        <v>68</v>
      </c>
      <c r="B36" s="2" t="s">
        <v>742</v>
      </c>
      <c r="C36" s="2"/>
      <c r="D36" s="8" t="s">
        <v>742</v>
      </c>
      <c r="E36" t="s">
        <v>69</v>
      </c>
      <c r="F36" s="9">
        <v>66.775000000000006</v>
      </c>
      <c r="G36" s="9">
        <v>16891.5</v>
      </c>
      <c r="H36" s="9">
        <v>11.855</v>
      </c>
      <c r="I36" s="9">
        <v>67.349999999999994</v>
      </c>
      <c r="J36" s="9">
        <v>245.61952451683635</v>
      </c>
      <c r="K36" s="9">
        <v>123.42689674212882</v>
      </c>
      <c r="L36" s="9">
        <v>27.268586933197188</v>
      </c>
      <c r="M36" s="9">
        <v>5640.2856606144805</v>
      </c>
      <c r="N36" s="9">
        <v>3.6762435537742375</v>
      </c>
      <c r="O36" s="9">
        <v>17.135635383609241</v>
      </c>
      <c r="P36" s="9">
        <v>30.557637753828033</v>
      </c>
      <c r="Q36" s="9">
        <v>15.355596861220118</v>
      </c>
      <c r="R36" s="12" t="s">
        <v>552</v>
      </c>
      <c r="S36" t="s">
        <v>557</v>
      </c>
      <c r="T36" t="s">
        <v>575</v>
      </c>
      <c r="U36" t="s">
        <v>555</v>
      </c>
      <c r="V36" t="s">
        <v>704</v>
      </c>
      <c r="W36" s="12">
        <v>1.2418250000000117</v>
      </c>
      <c r="X36" s="12">
        <v>4.0999999999999996</v>
      </c>
      <c r="Y36" s="12">
        <v>-16.100000000000001</v>
      </c>
      <c r="Z36" s="12">
        <v>-7.3999999999999986</v>
      </c>
      <c r="AA36" s="12">
        <v>-10</v>
      </c>
      <c r="AB36" s="10">
        <f t="shared" si="0"/>
        <v>17.675483216840568</v>
      </c>
      <c r="AD36" s="12"/>
      <c r="AE36" s="12"/>
      <c r="AF36" s="12"/>
      <c r="AG36" s="12"/>
      <c r="AH36" s="12"/>
    </row>
    <row r="37" spans="1:34" x14ac:dyDescent="0.25">
      <c r="A37" t="s">
        <v>70</v>
      </c>
      <c r="B37" s="2" t="s">
        <v>742</v>
      </c>
      <c r="C37" s="2" t="s">
        <v>742</v>
      </c>
      <c r="D37" s="8" t="s">
        <v>741</v>
      </c>
      <c r="E37" t="s">
        <v>71</v>
      </c>
      <c r="F37" s="9">
        <v>62.774999999999999</v>
      </c>
      <c r="G37" s="9">
        <v>17250</v>
      </c>
      <c r="H37" s="9">
        <v>9.3550000000000004</v>
      </c>
      <c r="I37" s="9">
        <v>75.400000000000006</v>
      </c>
      <c r="J37" s="9">
        <v>235.0661766963394</v>
      </c>
      <c r="K37" s="9">
        <v>118.12370688258261</v>
      </c>
      <c r="L37" s="9">
        <v>21.172210560071427</v>
      </c>
      <c r="M37" s="9">
        <v>2633.7552404630669</v>
      </c>
      <c r="N37" s="9">
        <v>2.780857181997423</v>
      </c>
      <c r="O37" s="9">
        <v>16.577092628081623</v>
      </c>
      <c r="P37" s="9">
        <v>44.955396266201411</v>
      </c>
      <c r="Q37" s="9">
        <v>22.590651390050962</v>
      </c>
      <c r="R37" s="12" t="s">
        <v>556</v>
      </c>
      <c r="S37" t="s">
        <v>561</v>
      </c>
      <c r="T37" t="s">
        <v>586</v>
      </c>
      <c r="U37" t="s">
        <v>560</v>
      </c>
      <c r="V37" t="s">
        <v>702</v>
      </c>
      <c r="W37" s="12">
        <v>-1.1326150000000053</v>
      </c>
      <c r="X37" s="12">
        <v>2.2000000000000002</v>
      </c>
      <c r="Y37" s="12">
        <v>-8.6999999999999993</v>
      </c>
      <c r="Z37" s="12">
        <v>-9.1999999999999993</v>
      </c>
      <c r="AA37" s="12">
        <v>-7.6000000000000005</v>
      </c>
      <c r="AB37" s="10">
        <f t="shared" si="0"/>
        <v>42.636723970677345</v>
      </c>
      <c r="AD37" s="12"/>
      <c r="AE37" s="12"/>
      <c r="AF37" s="12"/>
      <c r="AG37" s="12"/>
      <c r="AH37" s="12"/>
    </row>
    <row r="38" spans="1:34" x14ac:dyDescent="0.25">
      <c r="A38" t="s">
        <v>72</v>
      </c>
      <c r="B38" s="2" t="s">
        <v>742</v>
      </c>
      <c r="C38" s="2" t="s">
        <v>742</v>
      </c>
      <c r="D38" s="8" t="s">
        <v>741</v>
      </c>
      <c r="E38" t="s">
        <v>73</v>
      </c>
      <c r="F38" s="9">
        <v>60.2</v>
      </c>
      <c r="G38" s="9">
        <v>15525</v>
      </c>
      <c r="H38" s="9">
        <v>7.73</v>
      </c>
      <c r="I38" s="9">
        <v>67.324999999999989</v>
      </c>
      <c r="J38" s="9">
        <v>230.90211535590089</v>
      </c>
      <c r="K38" s="9">
        <v>116.03121374668386</v>
      </c>
      <c r="L38" s="9">
        <v>19.380574466889932</v>
      </c>
      <c r="M38" s="9">
        <v>3866.415221709467</v>
      </c>
      <c r="N38" s="9">
        <v>1.1733143937865353</v>
      </c>
      <c r="O38" s="9">
        <v>5.631089296634058</v>
      </c>
      <c r="P38" s="9">
        <v>57.731497640452879</v>
      </c>
      <c r="Q38" s="9">
        <v>29.010802834398433</v>
      </c>
      <c r="R38" s="12" t="s">
        <v>553</v>
      </c>
      <c r="S38" t="s">
        <v>550</v>
      </c>
      <c r="T38" t="s">
        <v>574</v>
      </c>
      <c r="U38" t="s">
        <v>551</v>
      </c>
      <c r="V38" t="s">
        <v>701</v>
      </c>
      <c r="W38" s="12">
        <v>0.25460499999999592</v>
      </c>
      <c r="X38" s="12">
        <v>2.7</v>
      </c>
      <c r="Y38" s="12">
        <v>-9.8000000000000007</v>
      </c>
      <c r="Z38" s="12">
        <v>-3.7999999999999989</v>
      </c>
      <c r="AA38" s="12">
        <v>-7</v>
      </c>
      <c r="AB38" s="10">
        <f t="shared" si="0"/>
        <v>15.753173019645958</v>
      </c>
      <c r="AD38" s="12"/>
      <c r="AE38" s="12"/>
      <c r="AF38" s="12"/>
      <c r="AG38" s="12"/>
      <c r="AH38" s="12"/>
    </row>
    <row r="39" spans="1:34" x14ac:dyDescent="0.25">
      <c r="A39" t="s">
        <v>74</v>
      </c>
      <c r="B39" s="2"/>
      <c r="C39" s="2"/>
      <c r="D39" s="8" t="s">
        <v>741</v>
      </c>
      <c r="E39" t="s">
        <v>75</v>
      </c>
      <c r="F39" s="9">
        <v>66.266666666666666</v>
      </c>
      <c r="G39" s="9">
        <v>14633.333333333334</v>
      </c>
      <c r="H39" s="9">
        <v>9.07</v>
      </c>
      <c r="I39" s="9">
        <v>67.5</v>
      </c>
      <c r="J39" s="9">
        <v>227.00697959597633</v>
      </c>
      <c r="K39" s="9">
        <v>114.07385909345544</v>
      </c>
      <c r="L39" s="9">
        <v>20.711671427804479</v>
      </c>
      <c r="M39" s="9">
        <v>4309.6790290383942</v>
      </c>
      <c r="N39" s="9">
        <v>2.0350184274349883</v>
      </c>
      <c r="O39" s="9">
        <v>31.03626910567699</v>
      </c>
      <c r="P39" s="9">
        <v>39.822474938604827</v>
      </c>
      <c r="Q39" s="9">
        <v>20.011293938997401</v>
      </c>
      <c r="R39" s="12" t="s">
        <v>556</v>
      </c>
      <c r="S39" t="s">
        <v>561</v>
      </c>
      <c r="T39" t="s">
        <v>586</v>
      </c>
      <c r="U39" t="s">
        <v>560</v>
      </c>
      <c r="V39" t="s">
        <v>701</v>
      </c>
      <c r="W39" s="12">
        <v>0.25460499999999592</v>
      </c>
      <c r="X39" s="12">
        <v>2.2000000000000002</v>
      </c>
      <c r="Y39" s="12">
        <v>-8.6999999999999993</v>
      </c>
      <c r="Z39" s="12">
        <v>-7.6000000000000014</v>
      </c>
      <c r="AA39" s="12">
        <v>-7.6000000000000005</v>
      </c>
      <c r="AB39" s="10">
        <f t="shared" si="0"/>
        <v>41.733454286075172</v>
      </c>
      <c r="AD39" s="12"/>
      <c r="AE39" s="12"/>
      <c r="AF39" s="12"/>
      <c r="AG39" s="12"/>
      <c r="AH39" s="12"/>
    </row>
    <row r="40" spans="1:34" x14ac:dyDescent="0.25">
      <c r="A40" t="s">
        <v>76</v>
      </c>
      <c r="B40" s="2" t="s">
        <v>742</v>
      </c>
      <c r="C40" s="2"/>
      <c r="D40" s="8" t="s">
        <v>741</v>
      </c>
      <c r="E40" t="s">
        <v>77</v>
      </c>
      <c r="F40" s="9">
        <v>53.924999999999997</v>
      </c>
      <c r="G40" s="9">
        <v>16725</v>
      </c>
      <c r="H40" s="9">
        <v>9.0549999999999997</v>
      </c>
      <c r="I40" s="9">
        <v>73.599999999999994</v>
      </c>
      <c r="J40" s="9">
        <v>226.39190359294173</v>
      </c>
      <c r="K40" s="9">
        <v>113.7647756748451</v>
      </c>
      <c r="L40" s="9">
        <v>20.954454578124114</v>
      </c>
      <c r="M40" s="9">
        <v>4352.2982434571277</v>
      </c>
      <c r="N40" s="9">
        <v>1.4187435756095366</v>
      </c>
      <c r="O40" s="9">
        <v>14.493676782192574</v>
      </c>
      <c r="P40" s="9">
        <v>35.396821039961544</v>
      </c>
      <c r="Q40" s="9">
        <v>17.787347256262084</v>
      </c>
      <c r="R40" s="12" t="s">
        <v>553</v>
      </c>
      <c r="S40" t="s">
        <v>561</v>
      </c>
      <c r="T40" t="s">
        <v>586</v>
      </c>
      <c r="U40" t="s">
        <v>560</v>
      </c>
      <c r="V40" t="s">
        <v>700</v>
      </c>
      <c r="W40" s="12">
        <v>1.6358049999999931</v>
      </c>
      <c r="X40" s="12">
        <v>2.2000000000000002</v>
      </c>
      <c r="Y40" s="12">
        <v>-8.6999999999999993</v>
      </c>
      <c r="Z40" s="12">
        <v>-3.9000000000000004</v>
      </c>
      <c r="AA40" s="12">
        <v>-7.6000000000000005</v>
      </c>
      <c r="AB40" s="10">
        <f t="shared" si="0"/>
        <v>29.347575335802897</v>
      </c>
      <c r="AD40" s="12"/>
      <c r="AE40" s="12"/>
      <c r="AF40" s="12"/>
      <c r="AG40" s="12"/>
      <c r="AH40" s="12"/>
    </row>
    <row r="41" spans="1:34" x14ac:dyDescent="0.25">
      <c r="A41" t="s">
        <v>78</v>
      </c>
      <c r="B41" s="2"/>
      <c r="C41" s="2"/>
      <c r="D41" s="8" t="s">
        <v>742</v>
      </c>
      <c r="E41" t="s">
        <v>79</v>
      </c>
      <c r="F41" s="9">
        <v>65.599999999999994</v>
      </c>
      <c r="G41" s="9">
        <v>14436.5</v>
      </c>
      <c r="H41" s="9">
        <v>18.600000000000001</v>
      </c>
      <c r="I41" s="9">
        <v>64.699999999999989</v>
      </c>
      <c r="J41" s="9">
        <v>214.25545909725349</v>
      </c>
      <c r="K41" s="9">
        <v>107.66605984786608</v>
      </c>
      <c r="L41" s="9">
        <v>39.739401102683985</v>
      </c>
      <c r="M41" s="9">
        <v>9989.2974978223574</v>
      </c>
      <c r="N41" s="9">
        <v>4.8083261120685119</v>
      </c>
      <c r="O41" s="9">
        <v>37.335238046649735</v>
      </c>
      <c r="P41" s="9">
        <v>30.757634151965451</v>
      </c>
      <c r="Q41" s="9">
        <v>15.456097563801734</v>
      </c>
      <c r="R41" s="12" t="s">
        <v>558</v>
      </c>
      <c r="S41" t="s">
        <v>582</v>
      </c>
      <c r="T41" t="s">
        <v>579</v>
      </c>
      <c r="U41" t="s">
        <v>583</v>
      </c>
      <c r="V41" t="s">
        <v>698</v>
      </c>
      <c r="W41" s="12">
        <v>0.56494999999999707</v>
      </c>
      <c r="X41" s="12">
        <v>0.8</v>
      </c>
      <c r="Y41" s="12">
        <v>-19.399999999999999</v>
      </c>
      <c r="Z41" s="12">
        <v>-2.5</v>
      </c>
      <c r="AA41" s="12">
        <v>-10</v>
      </c>
      <c r="AB41" s="10">
        <f t="shared" si="0"/>
        <v>41.003768937293046</v>
      </c>
      <c r="AD41" s="12"/>
      <c r="AE41" s="12"/>
      <c r="AF41" s="12"/>
      <c r="AG41" s="12"/>
      <c r="AH41" s="12"/>
    </row>
    <row r="42" spans="1:34" x14ac:dyDescent="0.25">
      <c r="A42" t="s">
        <v>80</v>
      </c>
      <c r="B42" s="2" t="s">
        <v>742</v>
      </c>
      <c r="C42" s="2" t="s">
        <v>742</v>
      </c>
      <c r="D42" s="8" t="s">
        <v>741</v>
      </c>
      <c r="E42" t="s">
        <v>81</v>
      </c>
      <c r="F42" s="9">
        <v>66.050000000000011</v>
      </c>
      <c r="G42" s="9">
        <v>19875</v>
      </c>
      <c r="H42" s="9">
        <v>8.4825000000000017</v>
      </c>
      <c r="I42" s="9">
        <v>98.149999999999991</v>
      </c>
      <c r="J42" s="9">
        <v>207.57421458887057</v>
      </c>
      <c r="K42" s="9">
        <v>104.30865054717114</v>
      </c>
      <c r="L42" s="9">
        <v>21.261153935444437</v>
      </c>
      <c r="M42" s="9">
        <v>6318.9529723417518</v>
      </c>
      <c r="N42" s="9">
        <v>1.8365615517410014</v>
      </c>
      <c r="O42" s="9">
        <v>25.569056820044608</v>
      </c>
      <c r="P42" s="9">
        <v>73.662721550131963</v>
      </c>
      <c r="Q42" s="9">
        <v>37.01644299001606</v>
      </c>
      <c r="R42" s="12" t="s">
        <v>565</v>
      </c>
      <c r="S42" t="s">
        <v>561</v>
      </c>
      <c r="T42" t="s">
        <v>586</v>
      </c>
      <c r="U42" t="s">
        <v>560</v>
      </c>
      <c r="V42" t="s">
        <v>705</v>
      </c>
      <c r="W42" s="12">
        <v>-0.33072500000000582</v>
      </c>
      <c r="X42" s="12">
        <v>2.2000000000000002</v>
      </c>
      <c r="Y42" s="12">
        <v>-8.6999999999999993</v>
      </c>
      <c r="Z42" s="12">
        <v>-5.3000000000000007</v>
      </c>
      <c r="AA42" s="12">
        <v>-7.6000000000000005</v>
      </c>
      <c r="AB42" s="10">
        <f t="shared" si="0"/>
        <v>25.947045872582024</v>
      </c>
      <c r="AD42" s="12"/>
      <c r="AE42" s="12"/>
      <c r="AF42" s="12"/>
      <c r="AG42" s="12"/>
      <c r="AH42" s="12"/>
    </row>
    <row r="43" spans="1:34" x14ac:dyDescent="0.25">
      <c r="A43" t="s">
        <v>82</v>
      </c>
      <c r="B43" s="2" t="s">
        <v>742</v>
      </c>
      <c r="C43" s="2" t="s">
        <v>742</v>
      </c>
      <c r="D43" s="8" t="s">
        <v>741</v>
      </c>
      <c r="E43" t="s">
        <v>83</v>
      </c>
      <c r="F43" s="9">
        <v>52.7</v>
      </c>
      <c r="G43" s="9">
        <v>9901</v>
      </c>
      <c r="H43" s="9">
        <v>11.3</v>
      </c>
      <c r="I43" s="9">
        <v>52.1</v>
      </c>
      <c r="J43" s="9">
        <v>190.0383877159309</v>
      </c>
      <c r="K43" s="9">
        <v>95.496677244186387</v>
      </c>
      <c r="L43" s="9">
        <v>18.950461735799543</v>
      </c>
      <c r="M43" s="9">
        <v>3039.8520523209677</v>
      </c>
      <c r="N43" s="9">
        <v>1.6970562748477132</v>
      </c>
      <c r="O43" s="9">
        <v>87.610530189013261</v>
      </c>
      <c r="P43" s="9">
        <v>77.326771884869231</v>
      </c>
      <c r="Q43" s="9">
        <v>38.85767431400464</v>
      </c>
      <c r="R43" s="12" t="s">
        <v>748</v>
      </c>
      <c r="S43" t="s">
        <v>561</v>
      </c>
      <c r="T43" t="s">
        <v>586</v>
      </c>
      <c r="U43" t="s">
        <v>560</v>
      </c>
      <c r="V43" t="s">
        <v>703</v>
      </c>
      <c r="W43" s="12">
        <v>0.56494999999999707</v>
      </c>
      <c r="X43" s="12">
        <v>2.2000000000000002</v>
      </c>
      <c r="Y43" s="12">
        <v>-8.6999999999999993</v>
      </c>
      <c r="Z43" s="12">
        <v>-8.6000000000000014</v>
      </c>
      <c r="AA43" s="12">
        <v>-7.6000000000000005</v>
      </c>
      <c r="AB43" s="10">
        <f t="shared" si="0"/>
        <v>46.555040349089687</v>
      </c>
      <c r="AD43" s="12"/>
      <c r="AE43" s="12"/>
      <c r="AF43" s="12"/>
      <c r="AG43" s="12"/>
      <c r="AH43" s="12"/>
    </row>
    <row r="44" spans="1:34" x14ac:dyDescent="0.25">
      <c r="A44" t="s">
        <v>84</v>
      </c>
      <c r="B44" s="2" t="s">
        <v>742</v>
      </c>
      <c r="C44" s="2"/>
      <c r="D44" s="8" t="s">
        <v>741</v>
      </c>
      <c r="E44" t="s">
        <v>85</v>
      </c>
      <c r="F44" s="9">
        <v>75.13333333333334</v>
      </c>
      <c r="G44" s="9">
        <v>19064.666666666668</v>
      </c>
      <c r="H44" s="9">
        <v>9.07</v>
      </c>
      <c r="I44" s="9">
        <v>99.066666666666663</v>
      </c>
      <c r="J44" s="9">
        <v>189.44771731013734</v>
      </c>
      <c r="K44" s="9">
        <v>95.199857944792626</v>
      </c>
      <c r="L44" s="9">
        <v>4.3003875794320328</v>
      </c>
      <c r="M44" s="9">
        <v>8809.1966338215752</v>
      </c>
      <c r="N44" s="9">
        <v>1.1066616465749588</v>
      </c>
      <c r="O44" s="9">
        <v>20.727115895206804</v>
      </c>
      <c r="P44" s="9">
        <v>73.579289625578554</v>
      </c>
      <c r="Q44" s="9">
        <v>36.974517399788219</v>
      </c>
      <c r="R44" s="12" t="s">
        <v>748</v>
      </c>
      <c r="S44" t="s">
        <v>550</v>
      </c>
      <c r="T44" t="s">
        <v>574</v>
      </c>
      <c r="U44" t="s">
        <v>551</v>
      </c>
      <c r="V44" t="s">
        <v>703</v>
      </c>
      <c r="W44" s="12">
        <v>0.56494999999999707</v>
      </c>
      <c r="X44" s="12">
        <v>2.7</v>
      </c>
      <c r="Y44" s="12">
        <v>-9.8000000000000007</v>
      </c>
      <c r="Z44" s="12">
        <v>-8.5</v>
      </c>
      <c r="AA44" s="12">
        <v>-7</v>
      </c>
      <c r="AB44" s="10">
        <f t="shared" si="0"/>
        <v>34.640750164823402</v>
      </c>
      <c r="AD44" s="12"/>
      <c r="AE44" s="12"/>
      <c r="AF44" s="12"/>
      <c r="AG44" s="12"/>
      <c r="AH44" s="12"/>
    </row>
    <row r="45" spans="1:34" x14ac:dyDescent="0.25">
      <c r="A45" t="s">
        <v>86</v>
      </c>
      <c r="B45" s="2"/>
      <c r="C45" s="2"/>
      <c r="D45" s="8" t="s">
        <v>741</v>
      </c>
      <c r="E45" t="s">
        <v>87</v>
      </c>
      <c r="F45" s="9">
        <v>64.13333333333334</v>
      </c>
      <c r="G45" s="9">
        <v>17566.666666666668</v>
      </c>
      <c r="H45" s="9">
        <v>9.2833333333333332</v>
      </c>
      <c r="I45" s="9">
        <v>101</v>
      </c>
      <c r="J45" s="9">
        <v>185.42396289626592</v>
      </c>
      <c r="K45" s="9">
        <v>93.177870802143673</v>
      </c>
      <c r="L45" s="9">
        <v>18.01813900860277</v>
      </c>
      <c r="M45" s="9">
        <v>4361.574639202373</v>
      </c>
      <c r="N45" s="9">
        <v>0.36936883102575568</v>
      </c>
      <c r="O45" s="9">
        <v>48.501134007361109</v>
      </c>
      <c r="P45" s="9">
        <v>35.920140103160222</v>
      </c>
      <c r="Q45" s="9">
        <v>18.050321659879508</v>
      </c>
      <c r="R45" s="12" t="s">
        <v>553</v>
      </c>
      <c r="S45" t="s">
        <v>568</v>
      </c>
      <c r="T45" t="s">
        <v>671</v>
      </c>
      <c r="U45" t="s">
        <v>555</v>
      </c>
      <c r="V45" t="s">
        <v>701</v>
      </c>
      <c r="W45" s="12">
        <v>0.25460499999999592</v>
      </c>
      <c r="X45" s="12">
        <v>4.0999999999999996</v>
      </c>
      <c r="Y45" s="12">
        <v>-6.8000000000000007</v>
      </c>
      <c r="Z45" s="12">
        <v>-3.8999999999999986</v>
      </c>
      <c r="AA45" s="12">
        <v>-7.6000000000000005</v>
      </c>
      <c r="AB45" s="10">
        <f t="shared" si="0"/>
        <v>12.042560763990108</v>
      </c>
      <c r="AD45" s="12"/>
      <c r="AE45" s="12"/>
      <c r="AF45" s="12"/>
      <c r="AG45" s="12"/>
      <c r="AH45" s="12"/>
    </row>
    <row r="46" spans="1:34" x14ac:dyDescent="0.25">
      <c r="A46" t="s">
        <v>88</v>
      </c>
      <c r="B46" s="2"/>
      <c r="C46" s="2"/>
      <c r="D46" s="8" t="s">
        <v>741</v>
      </c>
      <c r="E46" t="s">
        <v>89</v>
      </c>
      <c r="F46" s="9">
        <v>89.6</v>
      </c>
      <c r="G46" s="9">
        <v>19500</v>
      </c>
      <c r="H46" s="9">
        <v>15</v>
      </c>
      <c r="I46" s="9">
        <v>106</v>
      </c>
      <c r="J46" s="9">
        <v>183.96226415094338</v>
      </c>
      <c r="K46" s="9">
        <v>92.443348819569536</v>
      </c>
      <c r="R46" s="12" t="s">
        <v>565</v>
      </c>
      <c r="S46" t="s">
        <v>550</v>
      </c>
      <c r="T46" t="s">
        <v>574</v>
      </c>
      <c r="U46" t="s">
        <v>551</v>
      </c>
      <c r="V46" t="s">
        <v>705</v>
      </c>
      <c r="W46" s="12">
        <v>-0.33072500000000582</v>
      </c>
      <c r="X46" s="12">
        <v>2.7</v>
      </c>
      <c r="Y46" s="12">
        <v>-9.8000000000000007</v>
      </c>
      <c r="Z46" s="12">
        <v>-5.1999999999999993</v>
      </c>
      <c r="AA46" s="12">
        <v>-7</v>
      </c>
      <c r="AB46" s="10">
        <f t="shared" si="0"/>
        <v>19.270484198376064</v>
      </c>
      <c r="AD46" s="12"/>
      <c r="AE46" s="12"/>
      <c r="AF46" s="12"/>
      <c r="AG46" s="12"/>
      <c r="AH46" s="12"/>
    </row>
    <row r="47" spans="1:34" x14ac:dyDescent="0.25">
      <c r="A47" t="s">
        <v>90</v>
      </c>
      <c r="B47" s="2"/>
      <c r="C47" s="2"/>
      <c r="D47" s="8" t="s">
        <v>741</v>
      </c>
      <c r="E47" t="s">
        <v>91</v>
      </c>
      <c r="F47" s="9">
        <v>131</v>
      </c>
      <c r="G47" s="9">
        <v>16200</v>
      </c>
      <c r="H47" s="9">
        <v>10.9</v>
      </c>
      <c r="I47" s="9">
        <v>92.8</v>
      </c>
      <c r="J47" s="9">
        <v>174.56896551724139</v>
      </c>
      <c r="K47" s="9">
        <v>87.723098249870048</v>
      </c>
      <c r="L47" s="9">
        <v>57.27564927611035</v>
      </c>
      <c r="M47" s="9">
        <v>4828.1251019417468</v>
      </c>
      <c r="N47" s="9">
        <v>1.2727922061357848</v>
      </c>
      <c r="O47" s="9">
        <v>22.06173157302031</v>
      </c>
      <c r="P47" s="9">
        <v>15.857653307151528</v>
      </c>
      <c r="Q47" s="9">
        <v>7.9686700035937328</v>
      </c>
      <c r="R47" s="12" t="s">
        <v>553</v>
      </c>
      <c r="S47" t="s">
        <v>561</v>
      </c>
      <c r="T47" t="s">
        <v>586</v>
      </c>
      <c r="U47" t="s">
        <v>560</v>
      </c>
      <c r="V47" t="s">
        <v>702</v>
      </c>
      <c r="W47" s="12">
        <v>-1.1326150000000053</v>
      </c>
      <c r="X47" s="12">
        <v>2.2000000000000002</v>
      </c>
      <c r="Y47" s="12">
        <v>-8.6999999999999993</v>
      </c>
      <c r="Z47" s="12">
        <v>-3.9000000000000004</v>
      </c>
      <c r="AA47" s="12">
        <v>-7.6000000000000005</v>
      </c>
      <c r="AB47" s="10">
        <f t="shared" si="0"/>
        <v>14.11100647890353</v>
      </c>
      <c r="AD47" s="12"/>
      <c r="AE47" s="12"/>
      <c r="AF47" s="12"/>
      <c r="AG47" s="12"/>
      <c r="AH47" s="12"/>
    </row>
    <row r="48" spans="1:34" x14ac:dyDescent="0.25">
      <c r="A48" t="s">
        <v>92</v>
      </c>
      <c r="B48" s="2" t="s">
        <v>742</v>
      </c>
      <c r="C48" s="2" t="s">
        <v>742</v>
      </c>
      <c r="D48" s="8" t="s">
        <v>742</v>
      </c>
      <c r="E48" t="s">
        <v>93</v>
      </c>
      <c r="F48" s="9">
        <v>68.825000000000003</v>
      </c>
      <c r="G48" s="9">
        <v>17900</v>
      </c>
      <c r="H48" s="9">
        <v>36.525000000000006</v>
      </c>
      <c r="I48" s="9">
        <v>103.52500000000001</v>
      </c>
      <c r="J48" s="9">
        <v>172.9696254465739</v>
      </c>
      <c r="K48" s="9">
        <v>86.919409772147688</v>
      </c>
      <c r="L48" s="9">
        <v>20.539778479818125</v>
      </c>
      <c r="M48" s="9">
        <v>5607.7327563523095</v>
      </c>
      <c r="N48" s="9">
        <v>6.0593591520335499</v>
      </c>
      <c r="O48" s="9">
        <v>22.434552963379137</v>
      </c>
      <c r="P48" s="9">
        <v>44.67445937767927</v>
      </c>
      <c r="Q48" s="9">
        <v>22.449477074210687</v>
      </c>
      <c r="R48" s="12" t="s">
        <v>558</v>
      </c>
      <c r="S48" t="s">
        <v>584</v>
      </c>
      <c r="T48" t="s">
        <v>585</v>
      </c>
      <c r="U48" t="s">
        <v>551</v>
      </c>
      <c r="V48" t="s">
        <v>698</v>
      </c>
      <c r="W48" s="12">
        <v>0.56494999999999707</v>
      </c>
      <c r="X48" s="12">
        <v>0.2</v>
      </c>
      <c r="Y48" s="12">
        <v>-23.299999999999997</v>
      </c>
      <c r="Z48" s="12">
        <v>-2.5000000000000036</v>
      </c>
      <c r="AA48" s="12">
        <v>-9.8999999999999986</v>
      </c>
      <c r="AB48" s="10">
        <f t="shared" si="0"/>
        <v>43.93588717462228</v>
      </c>
      <c r="AD48" s="12"/>
      <c r="AE48" s="12"/>
      <c r="AF48" s="12"/>
      <c r="AG48" s="12"/>
      <c r="AH48" s="12"/>
    </row>
    <row r="49" spans="1:34" x14ac:dyDescent="0.25">
      <c r="A49" t="s">
        <v>94</v>
      </c>
      <c r="B49" s="2" t="s">
        <v>742</v>
      </c>
      <c r="C49" s="2"/>
      <c r="D49" s="8" t="s">
        <v>741</v>
      </c>
      <c r="E49" t="s">
        <v>95</v>
      </c>
      <c r="F49" s="9">
        <v>65.774999999999991</v>
      </c>
      <c r="G49" s="9">
        <v>18350</v>
      </c>
      <c r="H49" s="9">
        <v>9.7825000000000006</v>
      </c>
      <c r="I49" s="9">
        <v>108.47499999999999</v>
      </c>
      <c r="J49" s="9">
        <v>169.86066981350001</v>
      </c>
      <c r="K49" s="9">
        <v>85.357120509296493</v>
      </c>
      <c r="L49" s="9">
        <v>11.820709228581332</v>
      </c>
      <c r="M49" s="9">
        <v>3682.84310463171</v>
      </c>
      <c r="N49" s="9">
        <v>1.1625367377707494</v>
      </c>
      <c r="O49" s="9">
        <v>15.928041310845531</v>
      </c>
      <c r="P49" s="9">
        <v>27.99107480772388</v>
      </c>
      <c r="Q49" s="9">
        <v>14.065866737549689</v>
      </c>
      <c r="R49" s="12" t="s">
        <v>552</v>
      </c>
      <c r="S49" t="s">
        <v>561</v>
      </c>
      <c r="T49" t="s">
        <v>586</v>
      </c>
      <c r="U49" t="s">
        <v>560</v>
      </c>
      <c r="V49" t="s">
        <v>704</v>
      </c>
      <c r="W49" s="12">
        <v>1.2418250000000117</v>
      </c>
      <c r="X49" s="12">
        <v>2.2000000000000002</v>
      </c>
      <c r="Y49" s="12">
        <v>-8.6999999999999993</v>
      </c>
      <c r="Z49" s="12">
        <v>-7.5</v>
      </c>
      <c r="AA49" s="12">
        <v>-7.6000000000000005</v>
      </c>
      <c r="AB49" s="10">
        <f t="shared" si="0"/>
        <v>45.189430752478572</v>
      </c>
      <c r="AD49" s="12"/>
      <c r="AE49" s="12"/>
      <c r="AF49" s="12"/>
      <c r="AG49" s="12"/>
      <c r="AH49" s="12"/>
    </row>
    <row r="50" spans="1:34" x14ac:dyDescent="0.25">
      <c r="A50" t="s">
        <v>96</v>
      </c>
      <c r="B50" s="2"/>
      <c r="C50" s="2"/>
      <c r="D50" s="8" t="s">
        <v>742</v>
      </c>
      <c r="E50" t="s">
        <v>97</v>
      </c>
      <c r="F50" s="9">
        <v>79.066666666666677</v>
      </c>
      <c r="G50" s="9">
        <v>24500</v>
      </c>
      <c r="H50" s="9">
        <v>13.266666666666666</v>
      </c>
      <c r="I50" s="9">
        <v>154.83333333333334</v>
      </c>
      <c r="J50" s="9">
        <v>162.23737327347138</v>
      </c>
      <c r="K50" s="9">
        <v>81.526318227875066</v>
      </c>
      <c r="L50" s="9">
        <v>3.7206630233512588</v>
      </c>
      <c r="M50" s="9">
        <v>6577.9936150774729</v>
      </c>
      <c r="N50" s="9">
        <v>0.55075705472861036</v>
      </c>
      <c r="O50" s="9">
        <v>53.127990111930039</v>
      </c>
      <c r="P50" s="9">
        <v>19.483275269437058</v>
      </c>
      <c r="Q50" s="9">
        <v>9.7905905876568138</v>
      </c>
      <c r="R50" s="12" t="s">
        <v>748</v>
      </c>
      <c r="S50" t="s">
        <v>557</v>
      </c>
      <c r="T50" t="s">
        <v>575</v>
      </c>
      <c r="U50" t="s">
        <v>555</v>
      </c>
      <c r="V50" t="s">
        <v>703</v>
      </c>
      <c r="W50" s="12">
        <v>0.56494999999999707</v>
      </c>
      <c r="X50" s="12">
        <v>4.0999999999999996</v>
      </c>
      <c r="Y50" s="12">
        <v>-16.100000000000001</v>
      </c>
      <c r="Z50" s="12">
        <v>-8.5</v>
      </c>
      <c r="AA50" s="12">
        <v>-10</v>
      </c>
      <c r="AB50" s="10">
        <f t="shared" si="0"/>
        <v>17.745402680075259</v>
      </c>
      <c r="AD50" s="12"/>
      <c r="AE50" s="12"/>
      <c r="AF50" s="12"/>
      <c r="AG50" s="12"/>
      <c r="AH50" s="12"/>
    </row>
    <row r="51" spans="1:34" x14ac:dyDescent="0.25">
      <c r="A51" t="s">
        <v>98</v>
      </c>
      <c r="B51" s="2"/>
      <c r="C51" s="2"/>
      <c r="D51" s="8" t="s">
        <v>741</v>
      </c>
      <c r="E51" t="s">
        <v>99</v>
      </c>
      <c r="F51" s="9">
        <v>56.924999999999997</v>
      </c>
      <c r="G51" s="9">
        <v>15013</v>
      </c>
      <c r="H51" s="9">
        <v>9.125</v>
      </c>
      <c r="I51" s="9">
        <v>94.65</v>
      </c>
      <c r="J51" s="9">
        <v>160.47827507255434</v>
      </c>
      <c r="K51" s="9">
        <v>80.642349282690617</v>
      </c>
      <c r="L51" s="9">
        <v>22.543347133910707</v>
      </c>
      <c r="M51" s="9">
        <v>4981.9818011175703</v>
      </c>
      <c r="N51" s="9">
        <v>2.1457321982639557</v>
      </c>
      <c r="O51" s="9">
        <v>33.073100852505455</v>
      </c>
      <c r="P51" s="9">
        <v>28.367345109973169</v>
      </c>
      <c r="Q51" s="9">
        <v>14.254947291443804</v>
      </c>
      <c r="R51" s="12" t="s">
        <v>553</v>
      </c>
      <c r="S51" t="s">
        <v>672</v>
      </c>
      <c r="T51" t="s">
        <v>673</v>
      </c>
      <c r="U51" t="s">
        <v>570</v>
      </c>
      <c r="V51" t="s">
        <v>701</v>
      </c>
      <c r="W51" s="12">
        <v>0.25460499999999592</v>
      </c>
      <c r="X51" s="12">
        <v>6.2</v>
      </c>
      <c r="Y51" s="12">
        <v>-6.8</v>
      </c>
      <c r="Z51" s="12">
        <v>-4.2</v>
      </c>
      <c r="AA51" s="12">
        <v>-7.6000000000000005</v>
      </c>
      <c r="AB51" s="10">
        <f t="shared" si="0"/>
        <v>5.1978147985661067</v>
      </c>
      <c r="AD51" s="12"/>
      <c r="AE51" s="12"/>
      <c r="AF51" s="12"/>
      <c r="AG51" s="12"/>
      <c r="AH51" s="12"/>
    </row>
    <row r="52" spans="1:34" x14ac:dyDescent="0.25">
      <c r="A52" t="s">
        <v>100</v>
      </c>
      <c r="B52" s="2"/>
      <c r="C52" s="2"/>
      <c r="D52" s="8" t="s">
        <v>741</v>
      </c>
      <c r="E52" t="s">
        <v>101</v>
      </c>
      <c r="F52" s="9">
        <v>61.15</v>
      </c>
      <c r="G52" s="9">
        <v>18143.25</v>
      </c>
      <c r="H52" s="9">
        <v>9.9699999999999989</v>
      </c>
      <c r="I52" s="9">
        <v>114.425</v>
      </c>
      <c r="J52" s="9">
        <v>156.83137831342947</v>
      </c>
      <c r="K52" s="9">
        <v>78.809737845944454</v>
      </c>
      <c r="L52" s="9">
        <v>23.509501625229451</v>
      </c>
      <c r="M52" s="9">
        <v>6518.3547706968711</v>
      </c>
      <c r="N52" s="9">
        <v>1.6228986413205315</v>
      </c>
      <c r="O52" s="9">
        <v>37.219920741452448</v>
      </c>
      <c r="P52" s="9">
        <v>19.704089654796718</v>
      </c>
      <c r="Q52" s="9">
        <v>9.9015525903501089</v>
      </c>
      <c r="R52" s="12" t="s">
        <v>552</v>
      </c>
      <c r="S52" t="s">
        <v>550</v>
      </c>
      <c r="T52" t="s">
        <v>574</v>
      </c>
      <c r="U52" t="s">
        <v>551</v>
      </c>
      <c r="V52" t="s">
        <v>704</v>
      </c>
      <c r="W52" s="12">
        <v>1.2418250000000117</v>
      </c>
      <c r="X52" s="12">
        <v>2.7</v>
      </c>
      <c r="Y52" s="12">
        <v>-9.8000000000000007</v>
      </c>
      <c r="Z52" s="12">
        <v>-7.3999999999999986</v>
      </c>
      <c r="AA52" s="12">
        <v>-7</v>
      </c>
      <c r="AB52" s="10">
        <f t="shared" si="0"/>
        <v>33.614315884058364</v>
      </c>
      <c r="AD52" s="12"/>
      <c r="AE52" s="12"/>
      <c r="AF52" s="12"/>
      <c r="AG52" s="12"/>
      <c r="AH52" s="12"/>
    </row>
    <row r="53" spans="1:34" x14ac:dyDescent="0.25">
      <c r="A53" t="s">
        <v>102</v>
      </c>
      <c r="B53" s="2"/>
      <c r="C53" s="2"/>
      <c r="D53" s="8" t="s">
        <v>742</v>
      </c>
      <c r="E53" t="s">
        <v>103</v>
      </c>
      <c r="F53" s="9">
        <v>66.924999999999997</v>
      </c>
      <c r="G53" s="9">
        <v>19825</v>
      </c>
      <c r="H53" s="9">
        <v>19.55</v>
      </c>
      <c r="I53" s="9">
        <v>127.75</v>
      </c>
      <c r="J53" s="9">
        <v>154.43086639845177</v>
      </c>
      <c r="K53" s="9">
        <v>77.603450451483297</v>
      </c>
      <c r="L53" s="9">
        <v>30.925542301900972</v>
      </c>
      <c r="M53" s="9">
        <v>6189.4399315823939</v>
      </c>
      <c r="N53" s="9">
        <v>4.7864391775097284</v>
      </c>
      <c r="O53" s="9">
        <v>36.151302420060425</v>
      </c>
      <c r="P53" s="9">
        <v>11.320250074236867</v>
      </c>
      <c r="Q53" s="9">
        <v>5.6885678765009384</v>
      </c>
      <c r="R53" s="12" t="s">
        <v>558</v>
      </c>
      <c r="S53" t="s">
        <v>557</v>
      </c>
      <c r="T53" t="s">
        <v>575</v>
      </c>
      <c r="U53" t="s">
        <v>555</v>
      </c>
      <c r="V53" t="s">
        <v>701</v>
      </c>
      <c r="W53" s="12">
        <v>0.25460499999999592</v>
      </c>
      <c r="X53" s="12">
        <v>4.0999999999999996</v>
      </c>
      <c r="Y53" s="12">
        <v>-16.100000000000001</v>
      </c>
      <c r="Z53" s="12">
        <v>-3.2999999999999972</v>
      </c>
      <c r="AA53" s="12">
        <v>-10</v>
      </c>
      <c r="AB53" s="10">
        <f t="shared" si="0"/>
        <v>14.740995915860754</v>
      </c>
      <c r="AD53" s="12"/>
      <c r="AE53" s="12"/>
      <c r="AF53" s="12"/>
      <c r="AG53" s="12"/>
      <c r="AH53" s="12"/>
    </row>
    <row r="54" spans="1:34" x14ac:dyDescent="0.25">
      <c r="A54" t="s">
        <v>104</v>
      </c>
      <c r="B54" s="2"/>
      <c r="C54" s="2"/>
      <c r="D54" s="8" t="s">
        <v>741</v>
      </c>
      <c r="E54" t="s">
        <v>105</v>
      </c>
      <c r="F54" s="9">
        <v>50.95</v>
      </c>
      <c r="G54" s="9">
        <v>10390</v>
      </c>
      <c r="H54" s="9">
        <v>11.149999999999999</v>
      </c>
      <c r="I54" s="9">
        <v>70.349999999999994</v>
      </c>
      <c r="J54" s="9">
        <v>143.67823590814197</v>
      </c>
      <c r="K54" s="9">
        <v>72.200118546805015</v>
      </c>
      <c r="L54" s="9">
        <v>31.183409050326741</v>
      </c>
      <c r="M54" s="9">
        <v>5812.4177413534208</v>
      </c>
      <c r="N54" s="9">
        <v>3.6062445840513995</v>
      </c>
      <c r="O54" s="9">
        <v>31.749094475275999</v>
      </c>
      <c r="P54" s="9">
        <v>17.7791592816607</v>
      </c>
      <c r="Q54" s="9">
        <v>8.9342508953068851</v>
      </c>
      <c r="R54" s="12" t="s">
        <v>556</v>
      </c>
      <c r="S54" t="s">
        <v>550</v>
      </c>
      <c r="T54" t="s">
        <v>574</v>
      </c>
      <c r="U54" t="s">
        <v>551</v>
      </c>
      <c r="V54" t="s">
        <v>701</v>
      </c>
      <c r="W54" s="12">
        <v>0.25460499999999592</v>
      </c>
      <c r="X54" s="12">
        <v>2.7</v>
      </c>
      <c r="Y54" s="12">
        <v>-9.8000000000000007</v>
      </c>
      <c r="Z54" s="12">
        <v>-7.5</v>
      </c>
      <c r="AA54" s="12">
        <v>-7</v>
      </c>
      <c r="AB54" s="10">
        <f t="shared" si="0"/>
        <v>31.021744009931563</v>
      </c>
      <c r="AD54" s="12"/>
      <c r="AE54" s="12"/>
      <c r="AF54" s="12"/>
      <c r="AG54" s="12"/>
      <c r="AH54" s="12"/>
    </row>
    <row r="55" spans="1:34" x14ac:dyDescent="0.25">
      <c r="A55" t="s">
        <v>106</v>
      </c>
      <c r="B55" s="2"/>
      <c r="C55" s="2"/>
      <c r="D55" s="8" t="s">
        <v>741</v>
      </c>
      <c r="E55" t="s">
        <v>107</v>
      </c>
      <c r="F55" s="9">
        <v>69.25</v>
      </c>
      <c r="G55" s="9">
        <v>21750</v>
      </c>
      <c r="H55" s="9">
        <v>9.9074999999999989</v>
      </c>
      <c r="I55" s="9">
        <v>158.25</v>
      </c>
      <c r="J55" s="9">
        <v>137.28489489230287</v>
      </c>
      <c r="K55" s="9">
        <v>68.987384367991396</v>
      </c>
      <c r="L55" s="9">
        <v>11.987910576910405</v>
      </c>
      <c r="M55" s="9">
        <v>4132.3923660110822</v>
      </c>
      <c r="N55" s="9">
        <v>1.0385045337728032</v>
      </c>
      <c r="O55" s="9">
        <v>16.214705259938174</v>
      </c>
      <c r="P55" s="9">
        <v>22.852541908651965</v>
      </c>
      <c r="Q55" s="9">
        <v>11.483689401332645</v>
      </c>
      <c r="R55" s="12" t="s">
        <v>553</v>
      </c>
      <c r="S55" t="s">
        <v>561</v>
      </c>
      <c r="T55" t="s">
        <v>586</v>
      </c>
      <c r="U55" t="s">
        <v>560</v>
      </c>
      <c r="V55" t="s">
        <v>705</v>
      </c>
      <c r="W55" s="12">
        <v>-0.33072500000000582</v>
      </c>
      <c r="X55" s="12">
        <v>2.2000000000000002</v>
      </c>
      <c r="Y55" s="12">
        <v>-8.6999999999999993</v>
      </c>
      <c r="Z55" s="12">
        <v>-3.9000000000000004</v>
      </c>
      <c r="AA55" s="12">
        <v>-7.6000000000000005</v>
      </c>
      <c r="AB55" s="10">
        <f t="shared" si="0"/>
        <v>17.995959587275689</v>
      </c>
      <c r="AD55" s="12"/>
      <c r="AE55" s="12"/>
      <c r="AF55" s="12"/>
      <c r="AG55" s="12"/>
      <c r="AH55" s="12"/>
    </row>
    <row r="56" spans="1:34" x14ac:dyDescent="0.25">
      <c r="A56" t="s">
        <v>108</v>
      </c>
      <c r="B56" s="2" t="s">
        <v>742</v>
      </c>
      <c r="C56" s="2" t="s">
        <v>742</v>
      </c>
      <c r="D56" s="8" t="s">
        <v>741</v>
      </c>
      <c r="E56" t="s">
        <v>109</v>
      </c>
      <c r="F56" s="9">
        <v>80.2</v>
      </c>
      <c r="G56" s="9">
        <v>21500</v>
      </c>
      <c r="H56" s="9">
        <v>11.043333333333335</v>
      </c>
      <c r="I56" s="9">
        <v>165.66666666666666</v>
      </c>
      <c r="J56" s="9">
        <v>134.19205495054919</v>
      </c>
      <c r="K56" s="9">
        <v>67.433193442487038</v>
      </c>
      <c r="L56" s="9">
        <v>26.651266386421472</v>
      </c>
      <c r="M56" s="9">
        <v>5692.9781309961136</v>
      </c>
      <c r="N56" s="9">
        <v>1.8747355369046876</v>
      </c>
      <c r="O56" s="9">
        <v>66.785727018078759</v>
      </c>
      <c r="P56" s="9">
        <v>16.509543046777495</v>
      </c>
      <c r="Q56" s="9">
        <v>8.2962527873253737</v>
      </c>
      <c r="R56" s="12" t="s">
        <v>553</v>
      </c>
      <c r="S56" t="s">
        <v>564</v>
      </c>
      <c r="T56" t="s">
        <v>586</v>
      </c>
      <c r="U56" t="s">
        <v>560</v>
      </c>
      <c r="V56" t="s">
        <v>701</v>
      </c>
      <c r="W56" s="12">
        <v>0.25460499999999592</v>
      </c>
      <c r="X56" s="12">
        <v>2.2000000000000002</v>
      </c>
      <c r="Y56" s="12">
        <v>-10.3</v>
      </c>
      <c r="Z56" s="12">
        <v>-3.7999999999999989</v>
      </c>
      <c r="AA56" s="12">
        <v>-9.1</v>
      </c>
      <c r="AB56" s="10">
        <f t="shared" si="0"/>
        <v>29.460120974434474</v>
      </c>
      <c r="AD56" s="12"/>
      <c r="AE56" s="12"/>
      <c r="AF56" s="12"/>
      <c r="AG56" s="12"/>
      <c r="AH56" s="12"/>
    </row>
    <row r="57" spans="1:34" x14ac:dyDescent="0.25">
      <c r="A57" t="s">
        <v>110</v>
      </c>
      <c r="B57" s="2"/>
      <c r="C57" s="2"/>
      <c r="D57" s="8" t="s">
        <v>741</v>
      </c>
      <c r="E57" t="s">
        <v>111</v>
      </c>
      <c r="F57" s="9">
        <v>72.599999999999994</v>
      </c>
      <c r="G57" s="9">
        <v>16800</v>
      </c>
      <c r="H57" s="9">
        <v>11.8</v>
      </c>
      <c r="I57" s="9">
        <v>128</v>
      </c>
      <c r="J57" s="9">
        <v>131.25</v>
      </c>
      <c r="K57" s="9">
        <v>65.954773869346738</v>
      </c>
      <c r="R57" s="12" t="s">
        <v>556</v>
      </c>
      <c r="S57" t="s">
        <v>550</v>
      </c>
      <c r="T57" t="s">
        <v>574</v>
      </c>
      <c r="U57" t="s">
        <v>551</v>
      </c>
      <c r="V57" t="s">
        <v>705</v>
      </c>
      <c r="W57" s="12">
        <v>-0.33072500000000582</v>
      </c>
      <c r="X57" s="12">
        <v>2.7</v>
      </c>
      <c r="Y57" s="12">
        <v>-9.8000000000000007</v>
      </c>
      <c r="Z57" s="12">
        <v>-10.7</v>
      </c>
      <c r="AA57" s="12">
        <v>-7</v>
      </c>
      <c r="AB57" s="10">
        <f t="shared" si="0"/>
        <v>37.041834043681177</v>
      </c>
      <c r="AD57" s="12"/>
      <c r="AE57" s="12"/>
      <c r="AF57" s="12"/>
      <c r="AG57" s="12"/>
      <c r="AH57" s="12"/>
    </row>
    <row r="58" spans="1:34" x14ac:dyDescent="0.25">
      <c r="A58" t="s">
        <v>112</v>
      </c>
      <c r="B58" s="2"/>
      <c r="C58" s="2"/>
      <c r="D58" s="8" t="s">
        <v>741</v>
      </c>
      <c r="E58" t="s">
        <v>113</v>
      </c>
      <c r="F58" s="9">
        <v>62.974999999999994</v>
      </c>
      <c r="G58" s="9">
        <v>17475</v>
      </c>
      <c r="H58" s="9">
        <v>14.375</v>
      </c>
      <c r="I58" s="9">
        <v>141.75</v>
      </c>
      <c r="J58" s="9">
        <v>123.43976387878095</v>
      </c>
      <c r="K58" s="9">
        <v>62.030032099889922</v>
      </c>
      <c r="L58" s="9">
        <v>11.533249036300836</v>
      </c>
      <c r="M58" s="9">
        <v>2692.4276530051216</v>
      </c>
      <c r="N58" s="9">
        <v>2.2425803590209865</v>
      </c>
      <c r="O58" s="9">
        <v>1.707825127659933</v>
      </c>
      <c r="P58" s="9">
        <v>20.105067531430453</v>
      </c>
      <c r="Q58" s="9">
        <v>10.103049010769071</v>
      </c>
      <c r="R58" s="12" t="s">
        <v>558</v>
      </c>
      <c r="S58" t="s">
        <v>561</v>
      </c>
      <c r="T58" t="s">
        <v>586</v>
      </c>
      <c r="U58" t="s">
        <v>560</v>
      </c>
      <c r="V58" t="s">
        <v>701</v>
      </c>
      <c r="W58" s="12">
        <v>0.25460499999999592</v>
      </c>
      <c r="X58" s="12">
        <v>2.2000000000000002</v>
      </c>
      <c r="Y58" s="12">
        <v>-8.6999999999999993</v>
      </c>
      <c r="Z58" s="12">
        <v>-3.4000000000000004</v>
      </c>
      <c r="AA58" s="12">
        <v>-7.6000000000000005</v>
      </c>
      <c r="AB58" s="10">
        <f t="shared" si="0"/>
        <v>18.444045231707811</v>
      </c>
      <c r="AD58" s="12"/>
      <c r="AE58" s="12"/>
      <c r="AF58" s="12"/>
      <c r="AG58" s="12"/>
      <c r="AH58" s="12"/>
    </row>
    <row r="59" spans="1:34" x14ac:dyDescent="0.25">
      <c r="A59" t="s">
        <v>114</v>
      </c>
      <c r="B59" s="2"/>
      <c r="C59" s="2"/>
      <c r="D59" s="8" t="s">
        <v>741</v>
      </c>
      <c r="E59" t="s">
        <v>115</v>
      </c>
      <c r="F59" s="9">
        <v>81.099999999999994</v>
      </c>
      <c r="G59" s="9">
        <v>15500</v>
      </c>
      <c r="H59" s="9">
        <v>9.9</v>
      </c>
      <c r="I59" s="9">
        <v>127</v>
      </c>
      <c r="J59" s="9">
        <v>122.04724409448819</v>
      </c>
      <c r="K59" s="9">
        <v>61.330273414315677</v>
      </c>
      <c r="R59" s="12" t="s">
        <v>553</v>
      </c>
      <c r="S59" t="s">
        <v>561</v>
      </c>
      <c r="T59" t="s">
        <v>586</v>
      </c>
      <c r="U59" t="s">
        <v>560</v>
      </c>
      <c r="V59" t="s">
        <v>703</v>
      </c>
      <c r="W59" s="12">
        <v>0.56494999999999707</v>
      </c>
      <c r="X59" s="12">
        <v>2.2000000000000002</v>
      </c>
      <c r="Y59" s="12">
        <v>-8.6999999999999993</v>
      </c>
      <c r="Z59" s="12">
        <v>-3.9000000000000004</v>
      </c>
      <c r="AA59" s="12">
        <v>-7.6000000000000005</v>
      </c>
      <c r="AB59" s="10">
        <f t="shared" si="0"/>
        <v>22.964206813832067</v>
      </c>
      <c r="AD59" s="12"/>
      <c r="AE59" s="12"/>
      <c r="AF59" s="12"/>
      <c r="AG59" s="12"/>
      <c r="AH59" s="12"/>
    </row>
    <row r="60" spans="1:34" x14ac:dyDescent="0.25">
      <c r="A60" t="s">
        <v>116</v>
      </c>
      <c r="B60" s="2"/>
      <c r="C60" s="2"/>
      <c r="D60" s="8" t="s">
        <v>742</v>
      </c>
      <c r="E60" t="s">
        <v>117</v>
      </c>
      <c r="F60" s="9">
        <v>71.125</v>
      </c>
      <c r="G60" s="9">
        <v>18812</v>
      </c>
      <c r="H60" s="9">
        <v>15.575000000000001</v>
      </c>
      <c r="I60" s="9">
        <v>179.57499999999999</v>
      </c>
      <c r="J60" s="9">
        <v>115.7594519443447</v>
      </c>
      <c r="K60" s="9">
        <v>58.170578866504876</v>
      </c>
      <c r="L60" s="9">
        <v>32.680817513234466</v>
      </c>
      <c r="M60" s="9">
        <v>10263.503755216019</v>
      </c>
      <c r="N60" s="9">
        <v>5.1893320058237435</v>
      </c>
      <c r="O60" s="9">
        <v>128.05853804673342</v>
      </c>
      <c r="P60" s="9">
        <v>32.299138842759689</v>
      </c>
      <c r="Q60" s="9">
        <v>16.230723036562658</v>
      </c>
      <c r="R60" s="12" t="s">
        <v>553</v>
      </c>
      <c r="S60" t="s">
        <v>557</v>
      </c>
      <c r="T60" t="s">
        <v>575</v>
      </c>
      <c r="U60" t="s">
        <v>555</v>
      </c>
      <c r="V60" t="s">
        <v>701</v>
      </c>
      <c r="W60" s="12">
        <v>0.25460499999999592</v>
      </c>
      <c r="X60" s="12">
        <v>4.0999999999999996</v>
      </c>
      <c r="Y60" s="12">
        <v>-16.100000000000001</v>
      </c>
      <c r="Z60" s="12">
        <v>-3.7999999999999972</v>
      </c>
      <c r="AA60" s="12">
        <v>-10</v>
      </c>
      <c r="AB60" s="10">
        <f t="shared" si="0"/>
        <v>15.305412954079534</v>
      </c>
      <c r="AD60" s="12"/>
      <c r="AE60" s="12"/>
      <c r="AF60" s="12"/>
      <c r="AG60" s="12"/>
      <c r="AH60" s="12"/>
    </row>
    <row r="61" spans="1:34" x14ac:dyDescent="0.25">
      <c r="A61" t="s">
        <v>118</v>
      </c>
      <c r="B61" s="2"/>
      <c r="C61" s="2"/>
      <c r="D61" s="8" t="s">
        <v>742</v>
      </c>
      <c r="E61" t="s">
        <v>119</v>
      </c>
      <c r="F61" s="9">
        <v>66.75</v>
      </c>
      <c r="G61" s="9">
        <v>15750</v>
      </c>
      <c r="H61" s="9">
        <v>12.8</v>
      </c>
      <c r="I61" s="9">
        <v>158</v>
      </c>
      <c r="J61" s="9">
        <v>107.24104695641697</v>
      </c>
      <c r="K61" s="9">
        <v>53.889973344933146</v>
      </c>
      <c r="L61" s="9">
        <v>23.723195400282812</v>
      </c>
      <c r="M61" s="9">
        <v>3158.5861816114289</v>
      </c>
      <c r="N61" s="9">
        <v>2.1939310229205646</v>
      </c>
      <c r="O61" s="9">
        <v>43.916587602711878</v>
      </c>
      <c r="P61" s="9">
        <v>41.567287068193679</v>
      </c>
      <c r="Q61" s="9">
        <v>20.888083953866172</v>
      </c>
      <c r="R61" s="12" t="s">
        <v>565</v>
      </c>
      <c r="S61" t="s">
        <v>557</v>
      </c>
      <c r="T61" t="s">
        <v>575</v>
      </c>
      <c r="U61" t="s">
        <v>555</v>
      </c>
      <c r="V61" t="s">
        <v>705</v>
      </c>
      <c r="W61" s="12">
        <v>-0.33072500000000582</v>
      </c>
      <c r="X61" s="12">
        <v>4.0999999999999996</v>
      </c>
      <c r="Y61" s="12">
        <v>-16.100000000000001</v>
      </c>
      <c r="Z61" s="12">
        <v>-5.1999999999999993</v>
      </c>
      <c r="AA61" s="12">
        <v>-10</v>
      </c>
      <c r="AB61" s="10">
        <f t="shared" si="0"/>
        <v>16.057732117479006</v>
      </c>
      <c r="AD61" s="12"/>
      <c r="AE61" s="12"/>
      <c r="AF61" s="12"/>
      <c r="AG61" s="12"/>
      <c r="AH61" s="12"/>
    </row>
    <row r="62" spans="1:34" x14ac:dyDescent="0.25">
      <c r="A62" t="s">
        <v>120</v>
      </c>
      <c r="B62" s="2"/>
      <c r="C62" s="2" t="s">
        <v>742</v>
      </c>
      <c r="D62" s="8" t="s">
        <v>741</v>
      </c>
      <c r="E62" t="s">
        <v>121</v>
      </c>
      <c r="F62" s="9">
        <v>71.666666666666671</v>
      </c>
      <c r="G62" s="9">
        <v>23700</v>
      </c>
      <c r="H62" s="9">
        <v>14.333333333333334</v>
      </c>
      <c r="I62" s="9">
        <v>259</v>
      </c>
      <c r="J62" s="9">
        <v>96.912466099317314</v>
      </c>
      <c r="K62" s="9">
        <v>48.699731708199657</v>
      </c>
      <c r="L62" s="9">
        <v>14.6888846865013</v>
      </c>
      <c r="M62" s="9">
        <v>5115.6622249714646</v>
      </c>
      <c r="N62" s="9">
        <v>3.8423083339749531</v>
      </c>
      <c r="O62" s="9">
        <v>99.453506725504653</v>
      </c>
      <c r="P62" s="9">
        <v>21.132787368615372</v>
      </c>
      <c r="Q62" s="9">
        <v>10.619491140007725</v>
      </c>
      <c r="R62" s="12" t="s">
        <v>553</v>
      </c>
      <c r="S62" t="s">
        <v>561</v>
      </c>
      <c r="T62" t="s">
        <v>586</v>
      </c>
      <c r="U62" t="s">
        <v>560</v>
      </c>
      <c r="V62" t="s">
        <v>704</v>
      </c>
      <c r="W62" s="12">
        <v>1.2418250000000117</v>
      </c>
      <c r="X62" s="12">
        <v>2.2000000000000002</v>
      </c>
      <c r="Y62" s="12">
        <v>-8.6999999999999993</v>
      </c>
      <c r="Z62" s="12">
        <v>-3.9000000000000004</v>
      </c>
      <c r="AA62" s="12">
        <v>-7.6000000000000005</v>
      </c>
      <c r="AB62" s="10">
        <f t="shared" si="0"/>
        <v>26.981766816782336</v>
      </c>
      <c r="AD62" s="12"/>
      <c r="AE62" s="12"/>
      <c r="AF62" s="12"/>
      <c r="AG62" s="12"/>
      <c r="AH62" s="12"/>
    </row>
    <row r="63" spans="1:34" x14ac:dyDescent="0.25">
      <c r="A63" t="s">
        <v>122</v>
      </c>
      <c r="B63" s="2"/>
      <c r="C63" s="2"/>
      <c r="D63" s="8" t="s">
        <v>741</v>
      </c>
      <c r="E63" t="s">
        <v>123</v>
      </c>
      <c r="F63" s="9">
        <v>73.466666666666654</v>
      </c>
      <c r="G63" s="9">
        <v>21200</v>
      </c>
      <c r="H63" s="9">
        <v>12.933333333333332</v>
      </c>
      <c r="I63" s="9">
        <v>237</v>
      </c>
      <c r="J63" s="9">
        <v>94.541060846596523</v>
      </c>
      <c r="K63" s="9">
        <v>47.50807077718418</v>
      </c>
      <c r="L63" s="9">
        <v>11.692875323603479</v>
      </c>
      <c r="M63" s="9">
        <v>5434.15126767741</v>
      </c>
      <c r="N63" s="9">
        <v>1.6802777548171552</v>
      </c>
      <c r="O63" s="9">
        <v>98.549479958039356</v>
      </c>
      <c r="P63" s="9">
        <v>18.515014103193025</v>
      </c>
      <c r="Q63" s="9">
        <v>9.3040271875341833</v>
      </c>
      <c r="R63" s="12" t="s">
        <v>556</v>
      </c>
      <c r="S63" t="s">
        <v>550</v>
      </c>
      <c r="T63" t="s">
        <v>574</v>
      </c>
      <c r="U63" t="s">
        <v>551</v>
      </c>
      <c r="V63" t="s">
        <v>704</v>
      </c>
      <c r="W63" s="12">
        <v>1.2418250000000117</v>
      </c>
      <c r="X63" s="12">
        <v>2.7</v>
      </c>
      <c r="Y63" s="12">
        <v>-9.8000000000000007</v>
      </c>
      <c r="Z63" s="12">
        <v>-7.5</v>
      </c>
      <c r="AA63" s="12">
        <v>-7</v>
      </c>
      <c r="AB63" s="10">
        <f t="shared" si="0"/>
        <v>33.868844482613838</v>
      </c>
      <c r="AD63" s="12"/>
      <c r="AE63" s="12"/>
      <c r="AF63" s="12"/>
      <c r="AG63" s="12"/>
      <c r="AH63" s="12"/>
    </row>
    <row r="64" spans="1:34" x14ac:dyDescent="0.25">
      <c r="A64" t="s">
        <v>124</v>
      </c>
      <c r="B64" s="2"/>
      <c r="C64" s="2" t="s">
        <v>742</v>
      </c>
      <c r="D64" s="8" t="s">
        <v>742</v>
      </c>
      <c r="E64" t="s">
        <v>125</v>
      </c>
      <c r="F64" s="9">
        <v>76</v>
      </c>
      <c r="G64" s="9">
        <v>21233.333333333332</v>
      </c>
      <c r="H64" s="9">
        <v>27.133333333333336</v>
      </c>
      <c r="I64" s="9">
        <v>231.66666666666666</v>
      </c>
      <c r="J64" s="9">
        <v>92.146672988778263</v>
      </c>
      <c r="K64" s="9">
        <v>46.304860798381036</v>
      </c>
      <c r="L64" s="9">
        <v>14.853619087616359</v>
      </c>
      <c r="M64" s="9">
        <v>3800.4385711827226</v>
      </c>
      <c r="N64" s="9">
        <v>6.5424256459919405</v>
      </c>
      <c r="O64" s="9">
        <v>50.332229568471618</v>
      </c>
      <c r="P64" s="9">
        <v>3.8464345686088692</v>
      </c>
      <c r="Q64" s="9">
        <v>1.9328816927682759</v>
      </c>
      <c r="R64" s="12" t="s">
        <v>558</v>
      </c>
      <c r="S64" t="s">
        <v>557</v>
      </c>
      <c r="T64" t="s">
        <v>575</v>
      </c>
      <c r="U64" t="s">
        <v>555</v>
      </c>
      <c r="V64" t="s">
        <v>703</v>
      </c>
      <c r="W64" s="12">
        <v>0.56494999999999707</v>
      </c>
      <c r="X64" s="12">
        <v>4.0999999999999996</v>
      </c>
      <c r="Y64" s="12">
        <v>-16.100000000000001</v>
      </c>
      <c r="Z64" s="12">
        <v>-2.5</v>
      </c>
      <c r="AA64" s="12">
        <v>-10</v>
      </c>
      <c r="AB64" s="10">
        <f t="shared" si="0"/>
        <v>14.108245594608659</v>
      </c>
      <c r="AD64" s="12"/>
      <c r="AE64" s="12"/>
      <c r="AF64" s="12"/>
      <c r="AG64" s="12"/>
      <c r="AH64" s="12"/>
    </row>
    <row r="65" spans="1:34" x14ac:dyDescent="0.25">
      <c r="A65" t="s">
        <v>126</v>
      </c>
      <c r="B65" s="2"/>
      <c r="C65" s="2" t="s">
        <v>742</v>
      </c>
      <c r="D65" s="8" t="s">
        <v>741</v>
      </c>
      <c r="E65" t="s">
        <v>127</v>
      </c>
      <c r="F65" s="9">
        <v>55.9</v>
      </c>
      <c r="G65" s="9">
        <v>16386.5</v>
      </c>
      <c r="H65" s="9">
        <v>13.95</v>
      </c>
      <c r="I65" s="9">
        <v>179.5</v>
      </c>
      <c r="J65" s="9">
        <v>89.299625046869153</v>
      </c>
      <c r="K65" s="9">
        <v>44.874183440637765</v>
      </c>
      <c r="L65" s="9">
        <v>29.839906166072307</v>
      </c>
      <c r="M65" s="9">
        <v>10625.69360089025</v>
      </c>
      <c r="N65" s="9">
        <v>0.91923881554251108</v>
      </c>
      <c r="O65" s="9">
        <v>105.35891039679558</v>
      </c>
      <c r="P65" s="9">
        <v>6.7809604852909304</v>
      </c>
      <c r="Q65" s="9">
        <v>3.4075178318044879</v>
      </c>
      <c r="R65" s="12" t="s">
        <v>558</v>
      </c>
      <c r="S65" t="s">
        <v>550</v>
      </c>
      <c r="T65" t="s">
        <v>574</v>
      </c>
      <c r="U65" t="s">
        <v>551</v>
      </c>
      <c r="V65" t="s">
        <v>698</v>
      </c>
      <c r="W65" s="12">
        <v>0.56494999999999707</v>
      </c>
      <c r="X65" s="12">
        <v>2.7</v>
      </c>
      <c r="Y65" s="12">
        <v>-9.8000000000000007</v>
      </c>
      <c r="Z65" s="12">
        <v>-2.5</v>
      </c>
      <c r="AA65" s="12">
        <v>-7</v>
      </c>
      <c r="AB65" s="10">
        <f t="shared" si="0"/>
        <v>11.91285716026383</v>
      </c>
      <c r="AD65" s="12"/>
      <c r="AE65" s="12"/>
      <c r="AF65" s="12"/>
      <c r="AG65" s="12"/>
      <c r="AH65" s="12"/>
    </row>
    <row r="66" spans="1:34" x14ac:dyDescent="0.25">
      <c r="A66" t="s">
        <v>128</v>
      </c>
      <c r="B66" s="2"/>
      <c r="C66" s="2"/>
      <c r="D66" s="8" t="s">
        <v>742</v>
      </c>
      <c r="E66" t="s">
        <v>129</v>
      </c>
      <c r="F66" s="9">
        <v>66.099999999999994</v>
      </c>
      <c r="G66" s="9">
        <v>12975</v>
      </c>
      <c r="H66" s="9">
        <v>70.724999999999994</v>
      </c>
      <c r="I66" s="9">
        <v>155.75</v>
      </c>
      <c r="J66" s="9">
        <v>86.122970396853958</v>
      </c>
      <c r="K66" s="9">
        <v>43.277874571283398</v>
      </c>
      <c r="L66" s="9">
        <v>26.787434865374252</v>
      </c>
      <c r="M66" s="9">
        <v>2121.9095173922947</v>
      </c>
      <c r="N66" s="9">
        <v>16.29199701284859</v>
      </c>
      <c r="O66" s="9">
        <v>51.194889067822643</v>
      </c>
      <c r="P66" s="9">
        <v>11.446843862746199</v>
      </c>
      <c r="Q66" s="9">
        <v>5.752182845601105</v>
      </c>
      <c r="R66" s="12" t="s">
        <v>558</v>
      </c>
      <c r="S66" t="s">
        <v>557</v>
      </c>
      <c r="T66" t="s">
        <v>575</v>
      </c>
      <c r="U66" t="s">
        <v>555</v>
      </c>
      <c r="V66" t="s">
        <v>700</v>
      </c>
      <c r="W66" s="12">
        <v>1.6358049999999931</v>
      </c>
      <c r="X66" s="12">
        <v>4.0999999999999996</v>
      </c>
      <c r="Y66" s="12">
        <v>-16.100000000000001</v>
      </c>
      <c r="Z66" s="12">
        <v>-2.5</v>
      </c>
      <c r="AA66" s="12">
        <v>-10</v>
      </c>
      <c r="AB66" s="10">
        <f t="shared" si="0"/>
        <v>15.389461117353287</v>
      </c>
      <c r="AD66" s="12"/>
      <c r="AE66" s="12"/>
      <c r="AF66" s="12"/>
      <c r="AG66" s="12"/>
      <c r="AH66" s="12"/>
    </row>
    <row r="67" spans="1:34" x14ac:dyDescent="0.25">
      <c r="A67" t="s">
        <v>130</v>
      </c>
      <c r="B67" s="2"/>
      <c r="C67" s="2"/>
      <c r="D67" s="8" t="s">
        <v>742</v>
      </c>
      <c r="E67" t="s">
        <v>131</v>
      </c>
      <c r="F67" s="9">
        <v>79.150000000000006</v>
      </c>
      <c r="G67" s="9">
        <v>25300</v>
      </c>
      <c r="H67" s="9">
        <v>25.824999999999999</v>
      </c>
      <c r="I67" s="9">
        <v>334.25</v>
      </c>
      <c r="J67" s="9">
        <v>75.433865676063903</v>
      </c>
      <c r="K67" s="9">
        <v>37.906465163851209</v>
      </c>
      <c r="L67" s="9">
        <v>14.806417527545221</v>
      </c>
      <c r="M67" s="9">
        <v>4599.2753052337857</v>
      </c>
      <c r="N67" s="9">
        <v>2.720753572082558</v>
      </c>
      <c r="O67" s="9">
        <v>51.097129730217397</v>
      </c>
      <c r="P67" s="9">
        <v>3.9727731239740551</v>
      </c>
      <c r="Q67" s="9">
        <v>1.9963684040070628</v>
      </c>
      <c r="R67" s="12" t="s">
        <v>558</v>
      </c>
      <c r="S67" t="s">
        <v>557</v>
      </c>
      <c r="T67" t="s">
        <v>575</v>
      </c>
      <c r="U67" t="s">
        <v>555</v>
      </c>
      <c r="V67" t="s">
        <v>705</v>
      </c>
      <c r="W67" s="12">
        <v>-0.33072500000000582</v>
      </c>
      <c r="X67" s="12">
        <v>4.0999999999999996</v>
      </c>
      <c r="Y67" s="12">
        <v>-16.100000000000001</v>
      </c>
      <c r="Z67" s="12">
        <v>-2.5</v>
      </c>
      <c r="AA67" s="12">
        <v>-10</v>
      </c>
      <c r="AB67" s="10">
        <f t="shared" ref="AB67:AB130" si="1">1+1/(0.005*EXP(0.6*X67)+6*EXP(0.45*(Z67+AA67-W67))*(1+0.005*EXP(0.6*X67)))</f>
        <v>12.750110078327658</v>
      </c>
      <c r="AD67" s="12"/>
      <c r="AE67" s="12"/>
      <c r="AF67" s="12"/>
      <c r="AG67" s="12"/>
      <c r="AH67" s="12"/>
    </row>
    <row r="68" spans="1:34" x14ac:dyDescent="0.25">
      <c r="A68" t="s">
        <v>132</v>
      </c>
      <c r="B68" s="2"/>
      <c r="C68" s="2"/>
      <c r="D68" s="8" t="s">
        <v>742</v>
      </c>
      <c r="E68" t="s">
        <v>133</v>
      </c>
      <c r="F68" s="9">
        <v>61.6</v>
      </c>
      <c r="G68" s="9">
        <v>16996.75</v>
      </c>
      <c r="H68" s="9">
        <v>17</v>
      </c>
      <c r="I68" s="9">
        <v>226.5</v>
      </c>
      <c r="J68" s="9">
        <v>74.614189656627858</v>
      </c>
      <c r="K68" s="9">
        <v>37.494567666647164</v>
      </c>
      <c r="L68" s="9">
        <v>23.844775807990573</v>
      </c>
      <c r="M68" s="9">
        <v>5803.4566352017027</v>
      </c>
      <c r="N68" s="9">
        <v>2.3079572497485028</v>
      </c>
      <c r="O68" s="9">
        <v>71.900394064752291</v>
      </c>
      <c r="P68" s="9">
        <v>5.9323355551190593</v>
      </c>
      <c r="Q68" s="9">
        <v>2.9810731432759092</v>
      </c>
      <c r="R68" s="12" t="s">
        <v>556</v>
      </c>
      <c r="S68" t="s">
        <v>557</v>
      </c>
      <c r="T68" t="s">
        <v>575</v>
      </c>
      <c r="U68" t="s">
        <v>555</v>
      </c>
      <c r="V68" t="s">
        <v>702</v>
      </c>
      <c r="W68" s="12">
        <v>-1.1326150000000053</v>
      </c>
      <c r="X68" s="12">
        <v>4.0999999999999996</v>
      </c>
      <c r="Y68" s="12">
        <v>-16.100000000000001</v>
      </c>
      <c r="Z68" s="12">
        <v>-9.0999999999999979</v>
      </c>
      <c r="AA68" s="12">
        <v>-10</v>
      </c>
      <c r="AB68" s="10">
        <f t="shared" si="1"/>
        <v>17.534287271534676</v>
      </c>
      <c r="AD68" s="12"/>
      <c r="AE68" s="12"/>
      <c r="AF68" s="12"/>
      <c r="AG68" s="12"/>
      <c r="AH68" s="12"/>
    </row>
    <row r="69" spans="1:34" x14ac:dyDescent="0.25">
      <c r="A69" t="s">
        <v>134</v>
      </c>
      <c r="B69" s="2"/>
      <c r="C69" s="2"/>
      <c r="D69" s="8" t="s">
        <v>741</v>
      </c>
      <c r="E69" t="s">
        <v>135</v>
      </c>
      <c r="F69" s="9">
        <v>61.25</v>
      </c>
      <c r="G69" s="9">
        <v>16108.25</v>
      </c>
      <c r="H69" s="9">
        <v>11.567500000000001</v>
      </c>
      <c r="I69" s="9">
        <v>214.75</v>
      </c>
      <c r="J69" s="9">
        <v>74.359310998673109</v>
      </c>
      <c r="K69" s="9">
        <v>37.366487939031714</v>
      </c>
      <c r="L69" s="9">
        <v>21.091625510298329</v>
      </c>
      <c r="M69" s="9">
        <v>4929.2263338175089</v>
      </c>
      <c r="N69" s="9">
        <v>1.572543057174153</v>
      </c>
      <c r="O69" s="9">
        <v>57.517388675078081</v>
      </c>
      <c r="P69" s="9">
        <v>8.7971723074403219</v>
      </c>
      <c r="Q69" s="9">
        <v>4.4206896017288049</v>
      </c>
      <c r="R69" s="12" t="s">
        <v>556</v>
      </c>
      <c r="S69" t="s">
        <v>550</v>
      </c>
      <c r="T69" t="s">
        <v>574</v>
      </c>
      <c r="U69" t="s">
        <v>551</v>
      </c>
      <c r="V69" t="s">
        <v>698</v>
      </c>
      <c r="W69" s="12">
        <v>0.56494999999999707</v>
      </c>
      <c r="X69" s="12">
        <v>2.7</v>
      </c>
      <c r="Y69" s="12">
        <v>-9.8000000000000007</v>
      </c>
      <c r="Z69" s="12">
        <v>-6.1999999999999993</v>
      </c>
      <c r="AA69" s="12">
        <v>-7</v>
      </c>
      <c r="AB69" s="10">
        <f t="shared" si="1"/>
        <v>27.439669126894373</v>
      </c>
      <c r="AD69" s="12"/>
      <c r="AE69" s="12"/>
      <c r="AF69" s="12"/>
      <c r="AG69" s="12"/>
      <c r="AH69" s="12"/>
    </row>
    <row r="70" spans="1:34" x14ac:dyDescent="0.25">
      <c r="A70" t="s">
        <v>136</v>
      </c>
      <c r="B70" s="2"/>
      <c r="C70" s="2" t="s">
        <v>742</v>
      </c>
      <c r="D70" s="8" t="s">
        <v>742</v>
      </c>
      <c r="E70" t="s">
        <v>137</v>
      </c>
      <c r="F70" s="9">
        <v>44.333333333333336</v>
      </c>
      <c r="G70" s="9">
        <v>19466.666666666668</v>
      </c>
      <c r="H70" s="9">
        <v>28.066666666666666</v>
      </c>
      <c r="I70" s="9">
        <v>433.33333333333331</v>
      </c>
      <c r="J70" s="9">
        <v>59.637989373951548</v>
      </c>
      <c r="K70" s="9">
        <v>29.968838881382688</v>
      </c>
      <c r="L70" s="9">
        <v>14.18927607581004</v>
      </c>
      <c r="M70" s="9">
        <v>7519.0129375839988</v>
      </c>
      <c r="N70" s="9">
        <v>1.7931970208417032</v>
      </c>
      <c r="O70" s="9">
        <v>317.39075110798188</v>
      </c>
      <c r="P70" s="9">
        <v>23.458606193011235</v>
      </c>
      <c r="Q70" s="9">
        <v>11.788244318096098</v>
      </c>
      <c r="R70" s="12" t="s">
        <v>587</v>
      </c>
      <c r="S70" t="s">
        <v>588</v>
      </c>
      <c r="T70" t="s">
        <v>579</v>
      </c>
      <c r="U70" t="s">
        <v>589</v>
      </c>
      <c r="V70" t="s">
        <v>707</v>
      </c>
      <c r="W70" s="12">
        <v>1.6358049999999931</v>
      </c>
      <c r="X70" s="12">
        <v>3.8</v>
      </c>
      <c r="Y70" s="12">
        <v>-13.899999999999999</v>
      </c>
      <c r="Z70" s="12">
        <v>-1.2000000000000011</v>
      </c>
      <c r="AA70" s="12">
        <v>-10</v>
      </c>
      <c r="AB70" s="10">
        <f t="shared" si="1"/>
        <v>15.620452895103915</v>
      </c>
      <c r="AD70" s="12"/>
      <c r="AE70" s="12"/>
      <c r="AF70" s="12"/>
      <c r="AG70" s="12"/>
      <c r="AH70" s="12"/>
    </row>
    <row r="71" spans="1:34" x14ac:dyDescent="0.25">
      <c r="A71" t="s">
        <v>138</v>
      </c>
      <c r="B71" s="2"/>
      <c r="C71" s="2" t="s">
        <v>742</v>
      </c>
      <c r="D71" s="8" t="s">
        <v>742</v>
      </c>
      <c r="E71" t="s">
        <v>139</v>
      </c>
      <c r="F71" s="9">
        <v>48.1</v>
      </c>
      <c r="G71" s="9">
        <v>19866.666666666668</v>
      </c>
      <c r="H71" s="9">
        <v>22.733333333333334</v>
      </c>
      <c r="I71" s="9">
        <v>432</v>
      </c>
      <c r="J71" s="9">
        <v>57.115190625899082</v>
      </c>
      <c r="K71" s="9">
        <v>28.701100817034714</v>
      </c>
      <c r="L71" s="9">
        <v>14.566399692442875</v>
      </c>
      <c r="M71" s="9">
        <v>7005.8705542011139</v>
      </c>
      <c r="N71" s="9">
        <v>1.0530379332620876</v>
      </c>
      <c r="O71" s="9">
        <v>281.91842791843175</v>
      </c>
      <c r="P71" s="9">
        <v>18.848945303941573</v>
      </c>
      <c r="Q71" s="9">
        <v>9.4718318110259165</v>
      </c>
      <c r="R71" s="12" t="s">
        <v>652</v>
      </c>
      <c r="S71" t="s">
        <v>653</v>
      </c>
      <c r="T71" t="s">
        <v>598</v>
      </c>
      <c r="U71" t="s">
        <v>589</v>
      </c>
      <c r="V71" t="s">
        <v>708</v>
      </c>
      <c r="W71" s="12">
        <v>1.6358049999999931</v>
      </c>
      <c r="X71" s="12">
        <v>5.0999999999999996</v>
      </c>
      <c r="Y71" s="12">
        <v>-12.700000000000001</v>
      </c>
      <c r="Z71" s="12">
        <v>-1.7999999999999989</v>
      </c>
      <c r="AA71" s="12">
        <v>-9.1</v>
      </c>
      <c r="AB71" s="10">
        <f t="shared" si="1"/>
        <v>8.6803740158870806</v>
      </c>
      <c r="AD71" s="12"/>
      <c r="AE71" s="12"/>
      <c r="AF71" s="12"/>
      <c r="AG71" s="12"/>
      <c r="AH71" s="12"/>
    </row>
    <row r="72" spans="1:34" x14ac:dyDescent="0.25">
      <c r="A72" t="s">
        <v>140</v>
      </c>
      <c r="B72" s="2"/>
      <c r="C72" s="2"/>
      <c r="D72" s="8" t="s">
        <v>742</v>
      </c>
      <c r="E72" t="s">
        <v>141</v>
      </c>
      <c r="F72" s="9">
        <v>73.574999999999989</v>
      </c>
      <c r="G72" s="9">
        <v>19325</v>
      </c>
      <c r="H72" s="9">
        <v>27.774999999999999</v>
      </c>
      <c r="I72" s="9">
        <v>356.25</v>
      </c>
      <c r="J72" s="9">
        <v>54.556161965949656</v>
      </c>
      <c r="K72" s="9">
        <v>27.415156766808874</v>
      </c>
      <c r="L72" s="9">
        <v>33.958246421156709</v>
      </c>
      <c r="M72" s="9">
        <v>5291.1088944883122</v>
      </c>
      <c r="N72" s="9">
        <v>10.247398043731234</v>
      </c>
      <c r="O72" s="9">
        <v>101.57878715558677</v>
      </c>
      <c r="P72" s="9">
        <v>5.7868079390591687</v>
      </c>
      <c r="Q72" s="9">
        <v>2.9079436879694316</v>
      </c>
      <c r="R72" s="12" t="s">
        <v>558</v>
      </c>
      <c r="S72" t="s">
        <v>569</v>
      </c>
      <c r="T72" t="s">
        <v>697</v>
      </c>
      <c r="U72" t="s">
        <v>570</v>
      </c>
      <c r="V72" t="s">
        <v>698</v>
      </c>
      <c r="W72" s="12">
        <v>0.56494999999999707</v>
      </c>
      <c r="X72" s="12">
        <v>6.2</v>
      </c>
      <c r="Y72" s="12">
        <v>-16.100000000000001</v>
      </c>
      <c r="Z72" s="12">
        <v>-2.7999999999999972</v>
      </c>
      <c r="AA72" s="12">
        <v>-10</v>
      </c>
      <c r="AB72" s="10">
        <f t="shared" si="1"/>
        <v>5.4640951748311259</v>
      </c>
      <c r="AD72" s="12"/>
      <c r="AE72" s="12"/>
      <c r="AF72" s="12"/>
      <c r="AG72" s="12"/>
      <c r="AH72" s="12"/>
    </row>
    <row r="73" spans="1:34" x14ac:dyDescent="0.25">
      <c r="A73" t="s">
        <v>142</v>
      </c>
      <c r="B73" s="2"/>
      <c r="C73" s="2"/>
      <c r="D73" s="8" t="s">
        <v>742</v>
      </c>
      <c r="E73" t="s">
        <v>143</v>
      </c>
      <c r="F73" s="9">
        <v>73.25</v>
      </c>
      <c r="G73" s="9">
        <v>15675</v>
      </c>
      <c r="H73" s="9">
        <v>75.974999999999994</v>
      </c>
      <c r="I73" s="9">
        <v>313</v>
      </c>
      <c r="J73" s="9">
        <v>50.083565381759286</v>
      </c>
      <c r="K73" s="9">
        <v>25.167620794853914</v>
      </c>
      <c r="L73" s="9">
        <v>32.431003684745853</v>
      </c>
      <c r="M73" s="9">
        <v>6079.6792678561587</v>
      </c>
      <c r="N73" s="9">
        <v>40.238983999764891</v>
      </c>
      <c r="O73" s="9">
        <v>106.92988356862641</v>
      </c>
      <c r="P73" s="9">
        <v>7.8804631489387553</v>
      </c>
      <c r="Q73" s="9">
        <v>3.960031733135053</v>
      </c>
      <c r="R73" s="12" t="s">
        <v>558</v>
      </c>
      <c r="S73" t="s">
        <v>557</v>
      </c>
      <c r="T73" t="s">
        <v>575</v>
      </c>
      <c r="U73" t="s">
        <v>555</v>
      </c>
      <c r="V73" t="s">
        <v>702</v>
      </c>
      <c r="W73" s="12">
        <v>-1.1326150000000053</v>
      </c>
      <c r="X73" s="12">
        <v>4.0999999999999996</v>
      </c>
      <c r="Y73" s="12">
        <v>-16.100000000000001</v>
      </c>
      <c r="Z73" s="12">
        <v>-2.5</v>
      </c>
      <c r="AA73" s="12">
        <v>-10</v>
      </c>
      <c r="AB73" s="10">
        <f t="shared" si="1"/>
        <v>11.345909103798181</v>
      </c>
      <c r="AD73" s="12"/>
      <c r="AE73" s="12"/>
      <c r="AF73" s="12"/>
      <c r="AG73" s="12"/>
      <c r="AH73" s="12"/>
    </row>
    <row r="74" spans="1:34" x14ac:dyDescent="0.25">
      <c r="A74" t="s">
        <v>144</v>
      </c>
      <c r="B74" s="2"/>
      <c r="C74" s="2" t="s">
        <v>742</v>
      </c>
      <c r="D74" s="8" t="s">
        <v>742</v>
      </c>
      <c r="E74" t="s">
        <v>145</v>
      </c>
      <c r="F74" s="9">
        <v>32.450000000000003</v>
      </c>
      <c r="G74" s="9">
        <v>11173.5</v>
      </c>
      <c r="H74" s="9">
        <v>33.299999999999997</v>
      </c>
      <c r="I74" s="9">
        <v>234</v>
      </c>
      <c r="J74" s="9">
        <v>47.713678954383596</v>
      </c>
      <c r="K74" s="9">
        <v>23.976723092655075</v>
      </c>
      <c r="L74" s="9">
        <v>8.8388347648318177</v>
      </c>
      <c r="M74" s="9">
        <v>4562.9600589967913</v>
      </c>
      <c r="N74" s="9">
        <v>9.8994949366116654</v>
      </c>
      <c r="O74" s="9">
        <v>94.752308678997366</v>
      </c>
      <c r="P74" s="9">
        <v>0.17939667735237902</v>
      </c>
      <c r="Q74" s="9">
        <v>9.0149084096672868E-2</v>
      </c>
      <c r="R74" s="12" t="s">
        <v>587</v>
      </c>
      <c r="S74" t="s">
        <v>590</v>
      </c>
      <c r="T74" t="s">
        <v>586</v>
      </c>
      <c r="U74" t="s">
        <v>583</v>
      </c>
      <c r="V74" t="s">
        <v>707</v>
      </c>
      <c r="W74" s="12">
        <v>1.6358049999999931</v>
      </c>
      <c r="X74" s="12">
        <v>0.8</v>
      </c>
      <c r="Y74" s="12">
        <v>-11.6</v>
      </c>
      <c r="Z74" s="12">
        <v>-1.2000000000000011</v>
      </c>
      <c r="AA74" s="12">
        <v>-9</v>
      </c>
      <c r="AB74" s="10">
        <f t="shared" si="1"/>
        <v>27.671095232095674</v>
      </c>
      <c r="AD74" s="12"/>
      <c r="AE74" s="12"/>
      <c r="AF74" s="12"/>
      <c r="AG74" s="12"/>
      <c r="AH74" s="12"/>
    </row>
    <row r="75" spans="1:34" x14ac:dyDescent="0.25">
      <c r="A75" t="s">
        <v>146</v>
      </c>
      <c r="B75" s="2"/>
      <c r="C75" s="2" t="s">
        <v>742</v>
      </c>
      <c r="D75" s="8" t="s">
        <v>742</v>
      </c>
      <c r="E75" t="s">
        <v>147</v>
      </c>
      <c r="F75" s="9">
        <v>56.1</v>
      </c>
      <c r="G75" s="9">
        <v>15000</v>
      </c>
      <c r="H75" s="9">
        <v>24.7</v>
      </c>
      <c r="I75" s="9">
        <v>363</v>
      </c>
      <c r="J75" s="9">
        <v>41.32231404958678</v>
      </c>
      <c r="K75" s="9">
        <v>20.76498193446572</v>
      </c>
      <c r="R75" s="12" t="s">
        <v>587</v>
      </c>
      <c r="S75" t="s">
        <v>626</v>
      </c>
      <c r="T75" t="s">
        <v>592</v>
      </c>
      <c r="U75" t="s">
        <v>583</v>
      </c>
      <c r="V75" t="s">
        <v>707</v>
      </c>
      <c r="W75" s="12">
        <v>1.6358049999999931</v>
      </c>
      <c r="X75" s="12">
        <v>5</v>
      </c>
      <c r="Y75" s="12">
        <v>-20.5</v>
      </c>
      <c r="Z75" s="12">
        <v>-1.1999999999999993</v>
      </c>
      <c r="AA75" s="12">
        <v>-5.9</v>
      </c>
      <c r="AB75" s="10">
        <f t="shared" si="1"/>
        <v>5.3481634643412361</v>
      </c>
      <c r="AD75" s="12"/>
      <c r="AE75" s="12"/>
      <c r="AF75" s="12"/>
      <c r="AG75" s="12"/>
      <c r="AH75" s="12"/>
    </row>
    <row r="76" spans="1:34" x14ac:dyDescent="0.25">
      <c r="A76" t="s">
        <v>148</v>
      </c>
      <c r="B76" s="2"/>
      <c r="C76" s="2" t="s">
        <v>742</v>
      </c>
      <c r="D76" s="8" t="s">
        <v>742</v>
      </c>
      <c r="E76" t="s">
        <v>149</v>
      </c>
      <c r="F76" s="9">
        <v>70.400000000000006</v>
      </c>
      <c r="G76" s="9">
        <v>19575</v>
      </c>
      <c r="H76" s="9">
        <v>38</v>
      </c>
      <c r="I76" s="9">
        <v>499</v>
      </c>
      <c r="J76" s="9">
        <v>39.358872988642645</v>
      </c>
      <c r="K76" s="9">
        <v>19.778328134996304</v>
      </c>
      <c r="L76" s="9">
        <v>12.665701717630897</v>
      </c>
      <c r="M76" s="9">
        <v>4125.0252524479574</v>
      </c>
      <c r="N76" s="9">
        <v>9.6671264258482328</v>
      </c>
      <c r="O76" s="9">
        <v>37.425481515495115</v>
      </c>
      <c r="P76" s="9">
        <v>8.8876412686233426</v>
      </c>
      <c r="Q76" s="9">
        <v>4.4661513912680117</v>
      </c>
      <c r="R76" s="12" t="s">
        <v>558</v>
      </c>
      <c r="S76" t="s">
        <v>554</v>
      </c>
      <c r="T76" t="s">
        <v>581</v>
      </c>
      <c r="U76" t="s">
        <v>555</v>
      </c>
      <c r="V76" t="s">
        <v>698</v>
      </c>
      <c r="W76" s="12">
        <v>0.56494999999999707</v>
      </c>
      <c r="X76" s="12">
        <v>5.3</v>
      </c>
      <c r="Y76" s="12">
        <v>-7.2</v>
      </c>
      <c r="Z76" s="12">
        <v>-2.4999999999999991</v>
      </c>
      <c r="AA76" s="12">
        <v>-7</v>
      </c>
      <c r="AB76" s="10">
        <f t="shared" si="1"/>
        <v>6.188039722328269</v>
      </c>
      <c r="AD76" s="12"/>
      <c r="AE76" s="12"/>
      <c r="AF76" s="12"/>
      <c r="AG76" s="12"/>
      <c r="AH76" s="12"/>
    </row>
    <row r="77" spans="1:34" x14ac:dyDescent="0.25">
      <c r="A77" t="s">
        <v>150</v>
      </c>
      <c r="B77" s="2"/>
      <c r="C77" s="2" t="s">
        <v>742</v>
      </c>
      <c r="D77" s="8" t="s">
        <v>742</v>
      </c>
      <c r="E77" t="s">
        <v>151</v>
      </c>
      <c r="F77" s="9">
        <v>76.324999999999989</v>
      </c>
      <c r="G77" s="9">
        <v>20375</v>
      </c>
      <c r="H77" s="9">
        <v>40.825000000000003</v>
      </c>
      <c r="I77" s="9">
        <v>538.75</v>
      </c>
      <c r="J77" s="9">
        <v>38.616953536804751</v>
      </c>
      <c r="K77" s="9">
        <v>19.405504289851635</v>
      </c>
      <c r="L77" s="9">
        <v>25.387710281420322</v>
      </c>
      <c r="M77" s="9">
        <v>6191.0553758359056</v>
      </c>
      <c r="N77" s="9">
        <v>7.3545337491010496</v>
      </c>
      <c r="O77" s="9">
        <v>193.13617820940058</v>
      </c>
      <c r="P77" s="9">
        <v>5.2506256097939792</v>
      </c>
      <c r="Q77" s="9">
        <v>2.6385053315547635</v>
      </c>
      <c r="R77" s="12" t="s">
        <v>558</v>
      </c>
      <c r="S77" t="s">
        <v>566</v>
      </c>
      <c r="T77" t="s">
        <v>671</v>
      </c>
      <c r="U77" t="s">
        <v>555</v>
      </c>
      <c r="V77" t="s">
        <v>698</v>
      </c>
      <c r="W77" s="12">
        <v>0.56494999999999707</v>
      </c>
      <c r="X77" s="12">
        <v>4.0999999999999996</v>
      </c>
      <c r="Y77" s="12">
        <v>-8.4</v>
      </c>
      <c r="Z77" s="12">
        <v>-2.5</v>
      </c>
      <c r="AA77" s="12">
        <v>-9.1</v>
      </c>
      <c r="AB77" s="10">
        <f t="shared" si="1"/>
        <v>12.742964770360668</v>
      </c>
      <c r="AD77" s="12"/>
      <c r="AE77" s="12"/>
      <c r="AF77" s="12"/>
      <c r="AG77" s="12"/>
      <c r="AH77" s="12"/>
    </row>
    <row r="78" spans="1:34" x14ac:dyDescent="0.25">
      <c r="A78" t="s">
        <v>152</v>
      </c>
      <c r="B78" s="2"/>
      <c r="C78" s="2"/>
      <c r="D78" s="8" t="s">
        <v>741</v>
      </c>
      <c r="E78" t="s">
        <v>153</v>
      </c>
      <c r="F78" s="9">
        <v>60.65</v>
      </c>
      <c r="G78" s="9">
        <v>13323</v>
      </c>
      <c r="H78" s="9">
        <v>24.675000000000001</v>
      </c>
      <c r="I78" s="9">
        <v>417</v>
      </c>
      <c r="J78" s="9">
        <v>34.336928471446186</v>
      </c>
      <c r="K78" s="9">
        <v>17.254737925349843</v>
      </c>
      <c r="L78" s="9">
        <v>20.907813531468751</v>
      </c>
      <c r="M78" s="9">
        <v>4738.2960369032799</v>
      </c>
      <c r="N78" s="9">
        <v>5.4938602093609958</v>
      </c>
      <c r="O78" s="9">
        <v>204.17476174427958</v>
      </c>
      <c r="P78" s="9">
        <v>11.787189534862669</v>
      </c>
      <c r="Q78" s="9">
        <v>5.9232108215390298</v>
      </c>
      <c r="R78" s="12" t="s">
        <v>556</v>
      </c>
      <c r="S78" t="s">
        <v>550</v>
      </c>
      <c r="T78" t="s">
        <v>574</v>
      </c>
      <c r="U78" t="s">
        <v>551</v>
      </c>
      <c r="V78" t="s">
        <v>703</v>
      </c>
      <c r="W78" s="12">
        <v>0.56494999999999707</v>
      </c>
      <c r="X78" s="12">
        <v>2.7</v>
      </c>
      <c r="Y78" s="12">
        <v>-9.8000000000000007</v>
      </c>
      <c r="Z78" s="12">
        <v>-5.2999999999999989</v>
      </c>
      <c r="AA78" s="12">
        <v>-7</v>
      </c>
      <c r="AB78" s="10">
        <f t="shared" si="1"/>
        <v>23.68013417508222</v>
      </c>
      <c r="AD78" s="12"/>
      <c r="AE78" s="12"/>
      <c r="AF78" s="12"/>
      <c r="AG78" s="12"/>
      <c r="AH78" s="12"/>
    </row>
    <row r="79" spans="1:34" x14ac:dyDescent="0.25">
      <c r="A79" t="s">
        <v>154</v>
      </c>
      <c r="B79" s="2"/>
      <c r="C79" s="2" t="s">
        <v>742</v>
      </c>
      <c r="D79" s="8" t="s">
        <v>741</v>
      </c>
      <c r="E79" t="s">
        <v>155</v>
      </c>
      <c r="F79" s="9">
        <v>63.5</v>
      </c>
      <c r="G79" s="9">
        <v>17300</v>
      </c>
      <c r="H79" s="9">
        <v>35.450000000000003</v>
      </c>
      <c r="I79" s="9">
        <v>1359.5</v>
      </c>
      <c r="J79" s="9">
        <v>27.990554654801855</v>
      </c>
      <c r="K79" s="9">
        <v>14.065605354171787</v>
      </c>
      <c r="L79" s="9">
        <v>10.465180361560924</v>
      </c>
      <c r="M79" s="9">
        <v>3676.9552621700473</v>
      </c>
      <c r="N79" s="9">
        <v>22.839549032325486</v>
      </c>
      <c r="O79" s="9">
        <v>1487.0455608353095</v>
      </c>
      <c r="P79" s="9">
        <v>27.911934374822472</v>
      </c>
      <c r="Q79" s="9">
        <v>14.026097675790187</v>
      </c>
      <c r="R79" s="12" t="s">
        <v>558</v>
      </c>
      <c r="S79" t="s">
        <v>561</v>
      </c>
      <c r="T79" t="s">
        <v>586</v>
      </c>
      <c r="U79" t="s">
        <v>560</v>
      </c>
      <c r="V79" t="s">
        <v>698</v>
      </c>
      <c r="W79" s="12">
        <v>0.56494999999999707</v>
      </c>
      <c r="X79" s="12">
        <v>2.2000000000000002</v>
      </c>
      <c r="Y79" s="12">
        <v>-8.6999999999999993</v>
      </c>
      <c r="Z79" s="12">
        <v>-2.6000000000000014</v>
      </c>
      <c r="AA79" s="12">
        <v>-7.6000000000000005</v>
      </c>
      <c r="AB79" s="10">
        <f t="shared" si="1"/>
        <v>15.960311234778262</v>
      </c>
      <c r="AD79" s="12"/>
      <c r="AE79" s="12"/>
      <c r="AF79" s="12"/>
      <c r="AG79" s="12"/>
      <c r="AH79" s="12"/>
    </row>
    <row r="80" spans="1:34" x14ac:dyDescent="0.25">
      <c r="A80" t="s">
        <v>156</v>
      </c>
      <c r="B80" s="2"/>
      <c r="C80" s="2" t="s">
        <v>742</v>
      </c>
      <c r="D80" s="8" t="s">
        <v>742</v>
      </c>
      <c r="E80" t="s">
        <v>157</v>
      </c>
      <c r="F80" s="9">
        <v>56.14</v>
      </c>
      <c r="G80" s="9">
        <v>16264.8</v>
      </c>
      <c r="H80" s="9">
        <v>22.119999999999997</v>
      </c>
      <c r="I80" s="9">
        <v>819.2</v>
      </c>
      <c r="J80" s="9">
        <v>26.270593071313392</v>
      </c>
      <c r="K80" s="9">
        <v>13.201303050911253</v>
      </c>
      <c r="L80" s="9">
        <v>21.747330870706872</v>
      </c>
      <c r="M80" s="9">
        <v>7615.3316513465124</v>
      </c>
      <c r="N80" s="9">
        <v>3.3283028708337583</v>
      </c>
      <c r="O80" s="9">
        <v>635.86489130946677</v>
      </c>
      <c r="P80" s="9">
        <v>9.4622018496461902</v>
      </c>
      <c r="Q80" s="9">
        <v>4.7548753013297436</v>
      </c>
      <c r="R80" s="12" t="s">
        <v>652</v>
      </c>
      <c r="S80" t="s">
        <v>654</v>
      </c>
      <c r="T80" t="s">
        <v>579</v>
      </c>
      <c r="U80" t="s">
        <v>589</v>
      </c>
      <c r="V80" t="s">
        <v>708</v>
      </c>
      <c r="W80" s="12">
        <v>1.6358049999999931</v>
      </c>
      <c r="X80" s="12">
        <v>3.8</v>
      </c>
      <c r="Y80" s="12">
        <v>-16.399999999999999</v>
      </c>
      <c r="Z80" s="12">
        <v>-1.7000000000000028</v>
      </c>
      <c r="AA80" s="12">
        <v>-10</v>
      </c>
      <c r="AB80" s="10">
        <f t="shared" si="1"/>
        <v>16.512150749294406</v>
      </c>
      <c r="AD80" s="12"/>
      <c r="AE80" s="12"/>
      <c r="AF80" s="12"/>
      <c r="AG80" s="12"/>
      <c r="AH80" s="12"/>
    </row>
    <row r="81" spans="1:34" x14ac:dyDescent="0.25">
      <c r="A81" t="s">
        <v>158</v>
      </c>
      <c r="B81" s="2"/>
      <c r="C81" s="2" t="s">
        <v>742</v>
      </c>
      <c r="D81" s="8" t="s">
        <v>741</v>
      </c>
      <c r="E81" t="s">
        <v>159</v>
      </c>
      <c r="F81" s="9">
        <v>42.900000000000006</v>
      </c>
      <c r="G81" s="9">
        <v>8740</v>
      </c>
      <c r="H81" s="9">
        <v>17.95</v>
      </c>
      <c r="I81" s="9">
        <v>426</v>
      </c>
      <c r="J81" s="9">
        <v>21.000309214594928</v>
      </c>
      <c r="K81" s="9">
        <v>10.552919203314035</v>
      </c>
      <c r="L81" s="9">
        <v>11.596551211459341</v>
      </c>
      <c r="M81" s="9">
        <v>4044.6507883870518</v>
      </c>
      <c r="N81" s="9">
        <v>1.0606601717798212</v>
      </c>
      <c r="O81" s="9">
        <v>229.1025971044414</v>
      </c>
      <c r="P81" s="9">
        <v>1.7994708748191972</v>
      </c>
      <c r="Q81" s="9">
        <v>0.90425672101467192</v>
      </c>
      <c r="R81" s="12" t="s">
        <v>587</v>
      </c>
      <c r="S81" t="s">
        <v>591</v>
      </c>
      <c r="T81" t="s">
        <v>592</v>
      </c>
      <c r="U81" t="s">
        <v>583</v>
      </c>
      <c r="V81" t="s">
        <v>709</v>
      </c>
      <c r="W81" s="12">
        <v>-2.2972550000000194</v>
      </c>
      <c r="X81" s="12">
        <v>5</v>
      </c>
      <c r="Y81" s="12">
        <v>-21.5</v>
      </c>
      <c r="Z81" s="12">
        <v>-2.6000000000000014</v>
      </c>
      <c r="AA81" s="12">
        <v>-9</v>
      </c>
      <c r="AB81" s="10">
        <f t="shared" si="1"/>
        <v>5.9798507090704796</v>
      </c>
      <c r="AD81" s="12"/>
      <c r="AE81" s="12"/>
      <c r="AF81" s="12"/>
      <c r="AG81" s="12"/>
      <c r="AH81" s="12"/>
    </row>
    <row r="82" spans="1:34" x14ac:dyDescent="0.25">
      <c r="A82" t="s">
        <v>160</v>
      </c>
      <c r="B82" s="2"/>
      <c r="C82" s="2"/>
      <c r="D82" s="8" t="s">
        <v>741</v>
      </c>
      <c r="E82" t="s">
        <v>161</v>
      </c>
      <c r="F82" s="9">
        <v>33.766666666666666</v>
      </c>
      <c r="G82" s="9">
        <v>10820</v>
      </c>
      <c r="H82" s="9">
        <v>29.100000000000005</v>
      </c>
      <c r="I82" s="9">
        <v>671.66666666666663</v>
      </c>
      <c r="J82" s="9">
        <v>19.724016835556466</v>
      </c>
      <c r="K82" s="9">
        <v>9.91156624902335</v>
      </c>
      <c r="L82" s="9">
        <v>9.3500445631736646</v>
      </c>
      <c r="M82" s="9">
        <v>3179.4968155354395</v>
      </c>
      <c r="N82" s="9">
        <v>12.696062381699289</v>
      </c>
      <c r="O82" s="9">
        <v>393.71351682833216</v>
      </c>
      <c r="P82" s="9">
        <v>9.3213070592912093</v>
      </c>
      <c r="Q82" s="9">
        <v>4.6840738991413113</v>
      </c>
      <c r="R82" s="12" t="s">
        <v>664</v>
      </c>
      <c r="S82" t="s">
        <v>665</v>
      </c>
      <c r="T82" t="s">
        <v>574</v>
      </c>
      <c r="U82" t="s">
        <v>583</v>
      </c>
      <c r="V82" t="s">
        <v>710</v>
      </c>
      <c r="W82" s="12">
        <v>-2.2972550000000047</v>
      </c>
      <c r="X82" s="12">
        <v>0.8</v>
      </c>
      <c r="Y82" s="12">
        <v>-11.999999999999998</v>
      </c>
      <c r="Z82" s="12">
        <v>-5.0000000000000018</v>
      </c>
      <c r="AA82" s="12">
        <v>-7.7999999999999989</v>
      </c>
      <c r="AB82" s="10">
        <f t="shared" si="1"/>
        <v>17.215736268417345</v>
      </c>
      <c r="AD82" s="12"/>
      <c r="AE82" s="12"/>
      <c r="AF82" s="12"/>
      <c r="AG82" s="12"/>
      <c r="AH82" s="12"/>
    </row>
    <row r="83" spans="1:34" x14ac:dyDescent="0.25">
      <c r="A83" t="s">
        <v>162</v>
      </c>
      <c r="B83" s="2"/>
      <c r="C83" s="2"/>
      <c r="D83" s="8" t="s">
        <v>741</v>
      </c>
      <c r="E83" t="s">
        <v>163</v>
      </c>
      <c r="F83" s="9">
        <v>49.45</v>
      </c>
      <c r="G83" s="9">
        <v>13550</v>
      </c>
      <c r="H83" s="9">
        <v>31.15</v>
      </c>
      <c r="I83" s="9">
        <v>711</v>
      </c>
      <c r="J83" s="9">
        <v>19.639479392624729</v>
      </c>
      <c r="K83" s="9">
        <v>9.8690851219219748</v>
      </c>
      <c r="L83" s="9">
        <v>23.405234457274709</v>
      </c>
      <c r="M83" s="9">
        <v>3889.0872965260114</v>
      </c>
      <c r="N83" s="9">
        <v>2.4748737341529163</v>
      </c>
      <c r="O83" s="9">
        <v>298.39906166072308</v>
      </c>
      <c r="P83" s="9">
        <v>2.7725948322620479</v>
      </c>
      <c r="Q83" s="9">
        <v>1.3932637348050492</v>
      </c>
      <c r="R83" s="12" t="s">
        <v>587</v>
      </c>
      <c r="S83" t="s">
        <v>590</v>
      </c>
      <c r="T83" t="s">
        <v>586</v>
      </c>
      <c r="U83" t="s">
        <v>583</v>
      </c>
      <c r="V83" t="s">
        <v>709</v>
      </c>
      <c r="W83" s="12">
        <v>-2.2972550000000194</v>
      </c>
      <c r="X83" s="12">
        <v>0.8</v>
      </c>
      <c r="Y83" s="12">
        <v>-11.6</v>
      </c>
      <c r="Z83" s="12">
        <v>-2.5999999999999996</v>
      </c>
      <c r="AA83" s="12">
        <v>-9</v>
      </c>
      <c r="AB83" s="10">
        <f t="shared" si="1"/>
        <v>10.996206100334698</v>
      </c>
      <c r="AD83" s="12"/>
      <c r="AE83" s="12"/>
      <c r="AF83" s="12"/>
      <c r="AG83" s="12"/>
      <c r="AH83" s="12"/>
    </row>
    <row r="84" spans="1:34" x14ac:dyDescent="0.25">
      <c r="A84" t="s">
        <v>164</v>
      </c>
      <c r="B84" s="2"/>
      <c r="C84" s="2"/>
      <c r="D84" s="8" t="s">
        <v>741</v>
      </c>
      <c r="E84" t="s">
        <v>165</v>
      </c>
      <c r="F84" s="9">
        <v>48.333333333333336</v>
      </c>
      <c r="G84" s="9">
        <v>11803.333333333334</v>
      </c>
      <c r="H84" s="9">
        <v>27.533333333333331</v>
      </c>
      <c r="I84" s="9">
        <v>657.66666666666663</v>
      </c>
      <c r="J84" s="9">
        <v>18.802251300007399</v>
      </c>
      <c r="K84" s="9">
        <v>9.4483674874409047</v>
      </c>
      <c r="L84" s="9">
        <v>24.03462779685454</v>
      </c>
      <c r="M84" s="9">
        <v>3355.2992911711085</v>
      </c>
      <c r="N84" s="9">
        <v>2.66520793435209</v>
      </c>
      <c r="O84" s="9">
        <v>292.27783585714019</v>
      </c>
      <c r="P84" s="9">
        <v>3.9297612547992036</v>
      </c>
      <c r="Q84" s="9">
        <v>1.9747543993965848</v>
      </c>
      <c r="R84" s="12" t="s">
        <v>587</v>
      </c>
      <c r="S84" t="s">
        <v>593</v>
      </c>
      <c r="T84" t="s">
        <v>579</v>
      </c>
      <c r="U84" t="s">
        <v>583</v>
      </c>
      <c r="V84" t="s">
        <v>709</v>
      </c>
      <c r="W84" s="12">
        <v>-2.2972550000000194</v>
      </c>
      <c r="X84" s="12">
        <v>3.4</v>
      </c>
      <c r="Y84" s="12">
        <v>-14.299999999999999</v>
      </c>
      <c r="Z84" s="12">
        <v>-2.5999999999999996</v>
      </c>
      <c r="AA84" s="12">
        <v>-9</v>
      </c>
      <c r="AB84" s="10">
        <f t="shared" si="1"/>
        <v>8.5085651633883543</v>
      </c>
      <c r="AD84" s="12"/>
      <c r="AE84" s="12"/>
      <c r="AF84" s="12"/>
      <c r="AG84" s="12"/>
      <c r="AH84" s="12"/>
    </row>
    <row r="85" spans="1:34" x14ac:dyDescent="0.25">
      <c r="A85" t="s">
        <v>166</v>
      </c>
      <c r="B85" s="2"/>
      <c r="C85" s="2"/>
      <c r="D85" s="8" t="s">
        <v>741</v>
      </c>
      <c r="E85" t="s">
        <v>167</v>
      </c>
      <c r="F85" s="9">
        <v>50.800000000000004</v>
      </c>
      <c r="G85" s="9">
        <v>13766.666666666666</v>
      </c>
      <c r="H85" s="9">
        <v>28.799999999999997</v>
      </c>
      <c r="I85" s="9">
        <v>758</v>
      </c>
      <c r="J85" s="9">
        <v>18.756739292453577</v>
      </c>
      <c r="K85" s="9">
        <v>9.4254971318862193</v>
      </c>
      <c r="L85" s="9">
        <v>1.9078784028338933</v>
      </c>
      <c r="M85" s="9">
        <v>3370.9543653590617</v>
      </c>
      <c r="N85" s="9">
        <v>3.0999999999999992</v>
      </c>
      <c r="O85" s="9">
        <v>266.81079438433522</v>
      </c>
      <c r="P85" s="9">
        <v>2.5461887612258227</v>
      </c>
      <c r="Q85" s="9">
        <v>1.2794918398119712</v>
      </c>
      <c r="R85" s="12" t="s">
        <v>587</v>
      </c>
      <c r="S85" t="s">
        <v>594</v>
      </c>
      <c r="T85" t="s">
        <v>592</v>
      </c>
      <c r="U85" t="s">
        <v>583</v>
      </c>
      <c r="V85" t="s">
        <v>709</v>
      </c>
      <c r="W85" s="12">
        <v>-2.2972550000000194</v>
      </c>
      <c r="X85" s="12">
        <v>0.8</v>
      </c>
      <c r="Y85" s="12">
        <v>-22.5</v>
      </c>
      <c r="Z85" s="12">
        <v>-2.3999999999999986</v>
      </c>
      <c r="AA85" s="12">
        <v>-8.1</v>
      </c>
      <c r="AB85" s="10">
        <f t="shared" si="1"/>
        <v>7.2918161042599348</v>
      </c>
      <c r="AD85" s="12"/>
      <c r="AE85" s="12"/>
      <c r="AF85" s="12"/>
      <c r="AG85" s="12"/>
      <c r="AH85" s="12"/>
    </row>
    <row r="86" spans="1:34" x14ac:dyDescent="0.25">
      <c r="A86" t="s">
        <v>168</v>
      </c>
      <c r="B86" s="2"/>
      <c r="C86" s="2"/>
      <c r="D86" s="8" t="s">
        <v>741</v>
      </c>
      <c r="E86" t="s">
        <v>169</v>
      </c>
      <c r="F86" s="9">
        <v>38.049999999999997</v>
      </c>
      <c r="G86" s="9">
        <v>8020</v>
      </c>
      <c r="H86" s="9">
        <v>26.4</v>
      </c>
      <c r="I86" s="9">
        <v>433.5</v>
      </c>
      <c r="J86" s="9">
        <v>18.741206286204676</v>
      </c>
      <c r="K86" s="9">
        <v>9.4176916011078777</v>
      </c>
      <c r="L86" s="9">
        <v>0.49497474683058024</v>
      </c>
      <c r="M86" s="9">
        <v>640.638743755012</v>
      </c>
      <c r="N86" s="9">
        <v>2.9698484809834991</v>
      </c>
      <c r="O86" s="9">
        <v>54.447222151364159</v>
      </c>
      <c r="P86" s="9">
        <v>3.8317078795952599</v>
      </c>
      <c r="Q86" s="9">
        <v>1.9254813465302814</v>
      </c>
      <c r="R86" s="12" t="s">
        <v>587</v>
      </c>
      <c r="S86" t="s">
        <v>595</v>
      </c>
      <c r="T86" t="s">
        <v>592</v>
      </c>
      <c r="U86" t="s">
        <v>583</v>
      </c>
      <c r="V86" t="s">
        <v>709</v>
      </c>
      <c r="W86" s="12">
        <v>-2.2972550000000194</v>
      </c>
      <c r="X86" s="12">
        <v>3.4</v>
      </c>
      <c r="Y86" s="12">
        <v>-16.100000000000009</v>
      </c>
      <c r="Z86" s="12">
        <v>-2.3999999999999915</v>
      </c>
      <c r="AA86" s="12">
        <v>-8.1</v>
      </c>
      <c r="AB86" s="10">
        <f t="shared" si="1"/>
        <v>6.1585086608628927</v>
      </c>
      <c r="AD86" s="12"/>
      <c r="AE86" s="12"/>
      <c r="AF86" s="12"/>
      <c r="AG86" s="12"/>
      <c r="AH86" s="12"/>
    </row>
    <row r="87" spans="1:34" x14ac:dyDescent="0.25">
      <c r="A87" t="s">
        <v>170</v>
      </c>
      <c r="B87" s="2"/>
      <c r="C87" s="2"/>
      <c r="D87" s="8" t="s">
        <v>742</v>
      </c>
      <c r="E87" t="s">
        <v>171</v>
      </c>
      <c r="F87" s="9">
        <v>47.400000000000006</v>
      </c>
      <c r="G87" s="9">
        <v>17450</v>
      </c>
      <c r="H87" s="9">
        <v>79.5</v>
      </c>
      <c r="I87" s="9">
        <v>1431.25</v>
      </c>
      <c r="J87" s="9">
        <v>16.773991539608701</v>
      </c>
      <c r="K87" s="9">
        <v>8.4291414771903028</v>
      </c>
      <c r="L87" s="9">
        <v>13.8083308187485</v>
      </c>
      <c r="M87" s="9">
        <v>7022.2859525940694</v>
      </c>
      <c r="N87" s="9">
        <v>14.657080200367327</v>
      </c>
      <c r="O87" s="9">
        <v>1141.1131352762529</v>
      </c>
      <c r="P87" s="9">
        <v>6.5475322548480115</v>
      </c>
      <c r="Q87" s="9">
        <v>3.2902172134914629</v>
      </c>
      <c r="R87" s="12" t="s">
        <v>587</v>
      </c>
      <c r="S87" t="s">
        <v>596</v>
      </c>
      <c r="T87" t="s">
        <v>579</v>
      </c>
      <c r="U87" t="s">
        <v>589</v>
      </c>
      <c r="V87" t="s">
        <v>707</v>
      </c>
      <c r="W87" s="12">
        <v>1.6358049999999931</v>
      </c>
      <c r="X87" s="12">
        <v>5.3</v>
      </c>
      <c r="Y87" s="12">
        <v>-14.399999999999999</v>
      </c>
      <c r="Z87" s="12">
        <v>-1.0000000000000018</v>
      </c>
      <c r="AA87" s="12">
        <v>-8.8000000000000007</v>
      </c>
      <c r="AB87" s="10">
        <f t="shared" si="1"/>
        <v>7.2748743159212985</v>
      </c>
      <c r="AD87" s="12"/>
      <c r="AE87" s="12"/>
      <c r="AF87" s="12"/>
      <c r="AG87" s="12"/>
      <c r="AH87" s="12"/>
    </row>
    <row r="88" spans="1:34" x14ac:dyDescent="0.25">
      <c r="A88" t="s">
        <v>172</v>
      </c>
      <c r="B88" s="2"/>
      <c r="C88" s="2"/>
      <c r="D88" s="8" t="s">
        <v>742</v>
      </c>
      <c r="E88" t="s">
        <v>173</v>
      </c>
      <c r="F88" s="9">
        <v>42.849999999999994</v>
      </c>
      <c r="G88" s="9">
        <v>12322</v>
      </c>
      <c r="H88" s="9">
        <v>51.45</v>
      </c>
      <c r="I88" s="9">
        <v>807.5</v>
      </c>
      <c r="J88" s="9">
        <v>16.555991587041927</v>
      </c>
      <c r="K88" s="9">
        <v>8.3195937623326266</v>
      </c>
      <c r="L88" s="9">
        <v>4.9500000000000286</v>
      </c>
      <c r="M88" s="9">
        <v>5478</v>
      </c>
      <c r="N88" s="9">
        <v>7.6499999999999728</v>
      </c>
      <c r="O88" s="9">
        <v>445.5</v>
      </c>
      <c r="P88" s="9">
        <v>2.3500857610243746</v>
      </c>
      <c r="Q88" s="9">
        <v>1.1809476186052135</v>
      </c>
      <c r="R88" s="12" t="s">
        <v>587</v>
      </c>
      <c r="S88" t="s">
        <v>597</v>
      </c>
      <c r="T88" t="s">
        <v>598</v>
      </c>
      <c r="U88" t="s">
        <v>589</v>
      </c>
      <c r="V88" t="s">
        <v>707</v>
      </c>
      <c r="W88" s="12">
        <v>1.6358049999999931</v>
      </c>
      <c r="X88" s="12">
        <v>3.8</v>
      </c>
      <c r="Y88" s="12">
        <v>-14.399999999999999</v>
      </c>
      <c r="Z88" s="12">
        <v>-1.2000000000000011</v>
      </c>
      <c r="AA88" s="12">
        <v>-9.1</v>
      </c>
      <c r="AB88" s="10">
        <f t="shared" si="1"/>
        <v>13.797430027024381</v>
      </c>
      <c r="AD88" s="12"/>
      <c r="AE88" s="12"/>
      <c r="AF88" s="12"/>
      <c r="AG88" s="12"/>
      <c r="AH88" s="12"/>
    </row>
    <row r="89" spans="1:34" x14ac:dyDescent="0.25">
      <c r="A89" t="s">
        <v>174</v>
      </c>
      <c r="B89" s="2"/>
      <c r="C89" s="2"/>
      <c r="D89" s="8" t="s">
        <v>741</v>
      </c>
      <c r="E89" t="s">
        <v>175</v>
      </c>
      <c r="F89" s="9">
        <v>42.1</v>
      </c>
      <c r="G89" s="9">
        <v>14700</v>
      </c>
      <c r="H89" s="9">
        <v>33.266666666666673</v>
      </c>
      <c r="I89" s="9">
        <v>1015.3333333333334</v>
      </c>
      <c r="J89" s="9">
        <v>15.297201231729909</v>
      </c>
      <c r="K89" s="9">
        <v>7.6870357948391508</v>
      </c>
      <c r="L89" s="9">
        <v>12.910460874810019</v>
      </c>
      <c r="M89" s="9">
        <v>3041.3812651491098</v>
      </c>
      <c r="N89" s="9">
        <v>4.4377171308380117</v>
      </c>
      <c r="O89" s="9">
        <v>419.99563489795133</v>
      </c>
      <c r="P89" s="9">
        <v>3.1582006465170687</v>
      </c>
      <c r="Q89" s="9">
        <v>1.587035500762346</v>
      </c>
      <c r="R89" s="12" t="s">
        <v>664</v>
      </c>
      <c r="S89" t="s">
        <v>666</v>
      </c>
      <c r="T89" t="s">
        <v>585</v>
      </c>
      <c r="U89" t="s">
        <v>583</v>
      </c>
      <c r="V89" t="s">
        <v>710</v>
      </c>
      <c r="W89" s="12">
        <v>-2.2972550000000047</v>
      </c>
      <c r="X89" s="12">
        <v>5</v>
      </c>
      <c r="Y89" s="12">
        <v>-16.5</v>
      </c>
      <c r="Z89" s="12">
        <v>-5</v>
      </c>
      <c r="AA89" s="12">
        <v>-7.7999999999999989</v>
      </c>
      <c r="AB89" s="10">
        <f t="shared" si="1"/>
        <v>7.2922819184212218</v>
      </c>
      <c r="AD89" s="12"/>
      <c r="AE89" s="12"/>
      <c r="AF89" s="12"/>
      <c r="AG89" s="12"/>
      <c r="AH89" s="12"/>
    </row>
    <row r="90" spans="1:34" x14ac:dyDescent="0.25">
      <c r="A90" t="s">
        <v>176</v>
      </c>
      <c r="B90" s="2"/>
      <c r="C90" s="2"/>
      <c r="D90" s="8" t="s">
        <v>741</v>
      </c>
      <c r="E90" t="s">
        <v>177</v>
      </c>
      <c r="F90" s="9">
        <v>48.066666666666663</v>
      </c>
      <c r="G90" s="9">
        <v>13266.666666666666</v>
      </c>
      <c r="H90" s="9">
        <v>35.133333333333333</v>
      </c>
      <c r="I90" s="9">
        <v>994.66666666666663</v>
      </c>
      <c r="J90" s="9">
        <v>15.147083368391472</v>
      </c>
      <c r="K90" s="9">
        <v>7.6115996826087802</v>
      </c>
      <c r="L90" s="9">
        <v>6.2684394655555202</v>
      </c>
      <c r="M90" s="9">
        <v>3523.256069793018</v>
      </c>
      <c r="N90" s="9">
        <v>2.4006943440041133</v>
      </c>
      <c r="O90" s="9">
        <v>520.54234537963691</v>
      </c>
      <c r="P90" s="9">
        <v>5.748088241718488</v>
      </c>
      <c r="Q90" s="9">
        <v>2.8884865536273807</v>
      </c>
      <c r="R90" s="12" t="s">
        <v>587</v>
      </c>
      <c r="S90" t="s">
        <v>599</v>
      </c>
      <c r="T90" t="s">
        <v>592</v>
      </c>
      <c r="U90" t="s">
        <v>583</v>
      </c>
      <c r="V90" t="s">
        <v>709</v>
      </c>
      <c r="W90" s="12">
        <v>-2.2972550000000194</v>
      </c>
      <c r="X90" s="12">
        <v>5</v>
      </c>
      <c r="Y90" s="12">
        <v>-18.8</v>
      </c>
      <c r="Z90" s="12">
        <v>-2.5999999999999979</v>
      </c>
      <c r="AA90" s="12">
        <v>-7</v>
      </c>
      <c r="AB90" s="10">
        <f t="shared" si="1"/>
        <v>3.8791357304895886</v>
      </c>
      <c r="AD90" s="12"/>
      <c r="AE90" s="12"/>
      <c r="AF90" s="12"/>
      <c r="AG90" s="12"/>
      <c r="AH90" s="12"/>
    </row>
    <row r="91" spans="1:34" x14ac:dyDescent="0.25">
      <c r="A91" t="s">
        <v>178</v>
      </c>
      <c r="B91" s="2"/>
      <c r="C91" s="2"/>
      <c r="D91" s="8" t="s">
        <v>741</v>
      </c>
      <c r="E91" t="s">
        <v>179</v>
      </c>
      <c r="F91" s="9">
        <v>36.599999999999994</v>
      </c>
      <c r="G91" s="9">
        <v>11700</v>
      </c>
      <c r="H91" s="9">
        <v>42.833333333333336</v>
      </c>
      <c r="I91" s="9">
        <v>893</v>
      </c>
      <c r="J91" s="9">
        <v>13.271734848125732</v>
      </c>
      <c r="K91" s="9">
        <v>6.6692134915204679</v>
      </c>
      <c r="L91" s="9">
        <v>8.8791891521693049</v>
      </c>
      <c r="M91" s="9">
        <v>1509.96688705415</v>
      </c>
      <c r="N91" s="9">
        <v>20.727115895206772</v>
      </c>
      <c r="O91" s="9">
        <v>128.73228033403277</v>
      </c>
      <c r="P91" s="9">
        <v>2.5176712083473269</v>
      </c>
      <c r="Q91" s="9">
        <v>1.2651614112298126</v>
      </c>
      <c r="R91" s="12" t="s">
        <v>587</v>
      </c>
      <c r="S91" t="s">
        <v>600</v>
      </c>
      <c r="T91" t="s">
        <v>579</v>
      </c>
      <c r="U91" t="s">
        <v>583</v>
      </c>
      <c r="V91" t="s">
        <v>709</v>
      </c>
      <c r="W91" s="12">
        <v>-2.2972550000000194</v>
      </c>
      <c r="X91" s="12">
        <v>3.4</v>
      </c>
      <c r="Y91" s="12">
        <v>-11.6</v>
      </c>
      <c r="Z91" s="12">
        <v>-2.5999999999999996</v>
      </c>
      <c r="AA91" s="12">
        <v>-7</v>
      </c>
      <c r="AB91" s="10">
        <f t="shared" si="1"/>
        <v>4.6839631132117763</v>
      </c>
      <c r="AD91" s="12"/>
      <c r="AE91" s="12"/>
      <c r="AF91" s="12"/>
      <c r="AG91" s="12"/>
      <c r="AH91" s="12"/>
    </row>
    <row r="92" spans="1:34" x14ac:dyDescent="0.25">
      <c r="A92" t="s">
        <v>180</v>
      </c>
      <c r="B92" s="2"/>
      <c r="C92" s="2"/>
      <c r="D92" s="8" t="s">
        <v>742</v>
      </c>
      <c r="E92" t="s">
        <v>181</v>
      </c>
      <c r="F92" s="9">
        <v>75.933333333333337</v>
      </c>
      <c r="G92" s="9">
        <v>22933.333333333332</v>
      </c>
      <c r="H92" s="9">
        <v>52</v>
      </c>
      <c r="I92" s="9">
        <v>1756.3333333333333</v>
      </c>
      <c r="J92" s="9">
        <v>13.080733047868556</v>
      </c>
      <c r="K92" s="9">
        <v>6.5732326873711333</v>
      </c>
      <c r="L92" s="9">
        <v>7.9939560502502998</v>
      </c>
      <c r="M92" s="9">
        <v>1817.5074506954115</v>
      </c>
      <c r="N92" s="9">
        <v>4.8867166891482476</v>
      </c>
      <c r="O92" s="9">
        <v>123.29368732150617</v>
      </c>
      <c r="P92" s="9">
        <v>1.092444593152041</v>
      </c>
      <c r="Q92" s="9">
        <v>0.5489671322372065</v>
      </c>
      <c r="R92" s="12" t="s">
        <v>558</v>
      </c>
      <c r="S92" t="s">
        <v>568</v>
      </c>
      <c r="T92" t="s">
        <v>671</v>
      </c>
      <c r="U92" t="s">
        <v>555</v>
      </c>
      <c r="V92" t="s">
        <v>698</v>
      </c>
      <c r="W92" s="12">
        <v>0.56494999999999707</v>
      </c>
      <c r="X92" s="12">
        <v>4.0999999999999996</v>
      </c>
      <c r="Y92" s="12">
        <v>-6.8000000000000007</v>
      </c>
      <c r="Z92" s="12">
        <v>-2.5999999999999996</v>
      </c>
      <c r="AA92" s="12">
        <v>-7.6000000000000005</v>
      </c>
      <c r="AB92" s="10">
        <f t="shared" si="1"/>
        <v>10.213953286936061</v>
      </c>
      <c r="AD92" s="12"/>
      <c r="AE92" s="12"/>
      <c r="AF92" s="12"/>
      <c r="AG92" s="12"/>
      <c r="AH92" s="12"/>
    </row>
    <row r="93" spans="1:34" x14ac:dyDescent="0.25">
      <c r="A93" t="s">
        <v>182</v>
      </c>
      <c r="B93" s="2"/>
      <c r="C93" s="2"/>
      <c r="D93" s="8" t="s">
        <v>741</v>
      </c>
      <c r="E93" t="s">
        <v>183</v>
      </c>
      <c r="F93" s="9">
        <v>58.866666666666667</v>
      </c>
      <c r="G93" s="9">
        <v>14500</v>
      </c>
      <c r="H93" s="9">
        <v>63.5</v>
      </c>
      <c r="I93" s="9">
        <v>1265.3333333333333</v>
      </c>
      <c r="J93" s="9">
        <v>11.612951786879023</v>
      </c>
      <c r="K93" s="9">
        <v>5.8356541642608155</v>
      </c>
      <c r="L93" s="9">
        <v>9.9379743073391626</v>
      </c>
      <c r="M93" s="9">
        <v>2685.1443164195102</v>
      </c>
      <c r="N93" s="9">
        <v>2.6907248094147427</v>
      </c>
      <c r="O93" s="9">
        <v>339.25555755703323</v>
      </c>
      <c r="P93" s="9">
        <v>0.85895069508449062</v>
      </c>
      <c r="Q93" s="9">
        <v>0.43163351511783449</v>
      </c>
      <c r="R93" s="12" t="s">
        <v>587</v>
      </c>
      <c r="S93" t="s">
        <v>601</v>
      </c>
      <c r="T93" t="s">
        <v>592</v>
      </c>
      <c r="U93" t="s">
        <v>583</v>
      </c>
      <c r="V93" t="s">
        <v>709</v>
      </c>
      <c r="W93" s="12">
        <v>-2.2972550000000194</v>
      </c>
      <c r="X93" s="12">
        <v>5</v>
      </c>
      <c r="Y93" s="12">
        <v>-16.800000000000004</v>
      </c>
      <c r="Z93" s="12">
        <v>-2.5999999999999943</v>
      </c>
      <c r="AA93" s="12">
        <v>-7</v>
      </c>
      <c r="AB93" s="10">
        <f t="shared" si="1"/>
        <v>3.879135730489585</v>
      </c>
      <c r="AD93" s="12"/>
      <c r="AE93" s="12"/>
      <c r="AF93" s="12"/>
      <c r="AG93" s="12"/>
      <c r="AH93" s="12"/>
    </row>
    <row r="94" spans="1:34" x14ac:dyDescent="0.25">
      <c r="A94" t="s">
        <v>184</v>
      </c>
      <c r="B94" s="2"/>
      <c r="C94" s="2"/>
      <c r="D94" s="8" t="s">
        <v>741</v>
      </c>
      <c r="E94" t="s">
        <v>185</v>
      </c>
      <c r="F94" s="9">
        <v>47.975000000000009</v>
      </c>
      <c r="G94" s="9">
        <v>15303</v>
      </c>
      <c r="H94" s="9">
        <v>100.10000000000001</v>
      </c>
      <c r="I94" s="9">
        <v>1793</v>
      </c>
      <c r="J94" s="9">
        <v>11.476091551499547</v>
      </c>
      <c r="K94" s="9">
        <v>5.7668801766329381</v>
      </c>
      <c r="L94" s="9">
        <v>10.637522032879591</v>
      </c>
      <c r="M94" s="9">
        <v>4819.255855420005</v>
      </c>
      <c r="N94" s="9">
        <v>38.982624334439016</v>
      </c>
      <c r="O94" s="9">
        <v>1120.1651663928851</v>
      </c>
      <c r="P94" s="9">
        <v>5.6881922922803767</v>
      </c>
      <c r="Q94" s="9">
        <v>2.8583880865730538</v>
      </c>
      <c r="R94" s="12" t="s">
        <v>587</v>
      </c>
      <c r="S94" t="s">
        <v>602</v>
      </c>
      <c r="T94" t="s">
        <v>603</v>
      </c>
      <c r="U94" t="s">
        <v>572</v>
      </c>
      <c r="V94" t="s">
        <v>711</v>
      </c>
      <c r="W94" s="12">
        <v>-0.63561500000000526</v>
      </c>
      <c r="X94" s="12">
        <v>4.5</v>
      </c>
      <c r="Y94" s="12">
        <v>-15.3</v>
      </c>
      <c r="Z94" s="12">
        <v>-0.5</v>
      </c>
      <c r="AA94" s="12">
        <v>-4.3000000000000007</v>
      </c>
      <c r="AB94" s="10">
        <f t="shared" si="1"/>
        <v>1.9398492399681291</v>
      </c>
      <c r="AD94" s="12"/>
      <c r="AE94" s="12"/>
      <c r="AF94" s="12"/>
      <c r="AG94" s="12"/>
      <c r="AH94" s="12"/>
    </row>
    <row r="95" spans="1:34" x14ac:dyDescent="0.25">
      <c r="A95" t="s">
        <v>186</v>
      </c>
      <c r="B95" s="2"/>
      <c r="C95" s="2"/>
      <c r="D95" s="8" t="s">
        <v>742</v>
      </c>
      <c r="E95" t="s">
        <v>187</v>
      </c>
      <c r="F95" s="9">
        <v>51</v>
      </c>
      <c r="G95" s="9">
        <v>20450</v>
      </c>
      <c r="H95" s="9">
        <v>143.32499999999999</v>
      </c>
      <c r="I95" s="9">
        <v>2347.25</v>
      </c>
      <c r="J95" s="9">
        <v>11.023388496282879</v>
      </c>
      <c r="K95" s="9">
        <v>5.5393912041622508</v>
      </c>
      <c r="L95" s="9">
        <v>10.417533297282981</v>
      </c>
      <c r="M95" s="9">
        <v>5453.6684901082872</v>
      </c>
      <c r="N95" s="9">
        <v>119.56174921353401</v>
      </c>
      <c r="O95" s="9">
        <v>1199.6769096302553</v>
      </c>
      <c r="P95" s="9">
        <v>5.5038176797889085</v>
      </c>
      <c r="Q95" s="9">
        <v>2.765737527532115</v>
      </c>
      <c r="R95" s="12" t="s">
        <v>587</v>
      </c>
      <c r="S95" t="s">
        <v>604</v>
      </c>
      <c r="T95" t="s">
        <v>605</v>
      </c>
      <c r="U95" t="s">
        <v>589</v>
      </c>
      <c r="V95" t="s">
        <v>707</v>
      </c>
      <c r="W95" s="12">
        <v>1.6358049999999931</v>
      </c>
      <c r="X95" s="12">
        <v>3.8</v>
      </c>
      <c r="Y95" s="12">
        <v>-16</v>
      </c>
      <c r="Z95" s="12">
        <v>-1.1999999999999993</v>
      </c>
      <c r="AA95" s="12">
        <v>-4.3000000000000007</v>
      </c>
      <c r="AB95" s="10">
        <f t="shared" si="1"/>
        <v>4.3049398798547083</v>
      </c>
      <c r="AD95" s="12"/>
      <c r="AE95" s="12"/>
      <c r="AF95" s="12"/>
      <c r="AG95" s="12"/>
      <c r="AH95" s="12"/>
    </row>
    <row r="96" spans="1:34" x14ac:dyDescent="0.25">
      <c r="A96" t="s">
        <v>188</v>
      </c>
      <c r="B96" s="2"/>
      <c r="C96" s="2"/>
      <c r="D96" s="8" t="s">
        <v>741</v>
      </c>
      <c r="E96" t="s">
        <v>189</v>
      </c>
      <c r="F96" s="9">
        <v>47.674999999999997</v>
      </c>
      <c r="G96" s="9">
        <v>16875</v>
      </c>
      <c r="H96" s="9">
        <v>92.175000000000011</v>
      </c>
      <c r="I96" s="9">
        <v>2104.5</v>
      </c>
      <c r="J96" s="9">
        <v>10.699988044719237</v>
      </c>
      <c r="K96" s="9">
        <v>5.3768784144317774</v>
      </c>
      <c r="L96" s="9">
        <v>11.452374207997227</v>
      </c>
      <c r="M96" s="9">
        <v>4875.1282034424494</v>
      </c>
      <c r="N96" s="9">
        <v>15.303982324872086</v>
      </c>
      <c r="O96" s="9">
        <v>1405.9150934533707</v>
      </c>
      <c r="P96" s="9">
        <v>4.5342229465094031</v>
      </c>
      <c r="Q96" s="9">
        <v>2.2785039932208058</v>
      </c>
      <c r="R96" s="12" t="s">
        <v>652</v>
      </c>
      <c r="S96" t="s">
        <v>655</v>
      </c>
      <c r="T96" t="s">
        <v>598</v>
      </c>
      <c r="U96" t="s">
        <v>607</v>
      </c>
      <c r="V96" t="s">
        <v>712</v>
      </c>
      <c r="W96" s="12">
        <v>0.25460499999999592</v>
      </c>
      <c r="X96" s="12">
        <v>5.4</v>
      </c>
      <c r="Y96" s="12">
        <v>-12.4</v>
      </c>
      <c r="Z96" s="12">
        <v>-1.6999999999999993</v>
      </c>
      <c r="AA96" s="12">
        <v>-9.1</v>
      </c>
      <c r="AB96" s="10">
        <f t="shared" si="1"/>
        <v>6.7329020186627755</v>
      </c>
      <c r="AD96" s="12"/>
      <c r="AE96" s="12"/>
      <c r="AF96" s="12"/>
      <c r="AG96" s="12"/>
      <c r="AH96" s="12"/>
    </row>
    <row r="97" spans="1:34" x14ac:dyDescent="0.25">
      <c r="A97" t="s">
        <v>190</v>
      </c>
      <c r="B97" s="2"/>
      <c r="C97" s="2"/>
      <c r="D97" s="8" t="s">
        <v>741</v>
      </c>
      <c r="E97" t="s">
        <v>191</v>
      </c>
      <c r="F97" s="9">
        <v>54.525000000000006</v>
      </c>
      <c r="G97" s="9">
        <v>15214.625</v>
      </c>
      <c r="H97" s="9">
        <v>112.1125</v>
      </c>
      <c r="I97" s="9">
        <v>2069.125</v>
      </c>
      <c r="J97" s="9">
        <v>9.6731015072384903</v>
      </c>
      <c r="K97" s="9">
        <v>4.8608550287630603</v>
      </c>
      <c r="L97" s="9">
        <v>20.675513899296408</v>
      </c>
      <c r="M97" s="9">
        <v>7232.5595907932211</v>
      </c>
      <c r="N97" s="9">
        <v>51.348257942699469</v>
      </c>
      <c r="O97" s="9">
        <v>1547.4077062542374</v>
      </c>
      <c r="P97" s="9">
        <v>3.5753999449343961</v>
      </c>
      <c r="Q97" s="9">
        <v>1.7966833894142693</v>
      </c>
      <c r="R97" s="12" t="s">
        <v>652</v>
      </c>
      <c r="S97" t="s">
        <v>656</v>
      </c>
      <c r="T97" t="s">
        <v>614</v>
      </c>
      <c r="U97" t="s">
        <v>572</v>
      </c>
      <c r="V97" t="s">
        <v>712</v>
      </c>
      <c r="W97" s="12">
        <v>0.25460499999999592</v>
      </c>
      <c r="X97" s="12">
        <v>5.8</v>
      </c>
      <c r="Y97" s="12">
        <v>-12</v>
      </c>
      <c r="Z97" s="12">
        <v>-1.6999999999999993</v>
      </c>
      <c r="AA97" s="12">
        <v>-9.1</v>
      </c>
      <c r="AB97" s="10">
        <f t="shared" si="1"/>
        <v>5.7506435886236584</v>
      </c>
      <c r="AD97" s="12"/>
      <c r="AE97" s="12"/>
      <c r="AF97" s="12"/>
      <c r="AG97" s="12"/>
      <c r="AH97" s="12"/>
    </row>
    <row r="98" spans="1:34" x14ac:dyDescent="0.25">
      <c r="A98" t="s">
        <v>192</v>
      </c>
      <c r="B98" s="2"/>
      <c r="C98" s="2"/>
      <c r="D98" s="8" t="s">
        <v>741</v>
      </c>
      <c r="E98" t="s">
        <v>193</v>
      </c>
      <c r="F98" s="9">
        <v>44.2</v>
      </c>
      <c r="G98" s="9">
        <v>10869.5</v>
      </c>
      <c r="H98" s="9">
        <v>98.6</v>
      </c>
      <c r="I98" s="9">
        <v>1196.5</v>
      </c>
      <c r="J98" s="9">
        <v>9.5522437806231562</v>
      </c>
      <c r="K98" s="9">
        <v>4.8001225028257064</v>
      </c>
      <c r="L98" s="9">
        <v>7.3999999999999684</v>
      </c>
      <c r="M98" s="9">
        <v>3430.5</v>
      </c>
      <c r="N98" s="9">
        <v>19.400000000000016</v>
      </c>
      <c r="O98" s="9">
        <v>499.5</v>
      </c>
      <c r="P98" s="9">
        <v>1.1206400070382532</v>
      </c>
      <c r="Q98" s="9">
        <v>0.56313568192877039</v>
      </c>
      <c r="R98" s="12" t="s">
        <v>587</v>
      </c>
      <c r="S98" t="s">
        <v>606</v>
      </c>
      <c r="T98" t="s">
        <v>605</v>
      </c>
      <c r="U98" t="s">
        <v>607</v>
      </c>
      <c r="V98" t="s">
        <v>711</v>
      </c>
      <c r="W98" s="12">
        <v>-0.63561500000000526</v>
      </c>
      <c r="X98" s="12">
        <v>4.5999999999999996</v>
      </c>
      <c r="Y98" s="12">
        <v>-15.200000000000001</v>
      </c>
      <c r="Z98" s="12">
        <v>-0.49999999999999822</v>
      </c>
      <c r="AA98" s="12">
        <v>-4.3000000000000007</v>
      </c>
      <c r="AB98" s="10">
        <f t="shared" si="1"/>
        <v>1.9321067879117526</v>
      </c>
      <c r="AD98" s="12"/>
      <c r="AE98" s="12"/>
      <c r="AF98" s="12"/>
      <c r="AG98" s="12"/>
      <c r="AH98" s="12"/>
    </row>
    <row r="99" spans="1:34" x14ac:dyDescent="0.25">
      <c r="A99" t="s">
        <v>194</v>
      </c>
      <c r="B99" s="2"/>
      <c r="C99" s="2"/>
      <c r="D99" s="8" t="s">
        <v>742</v>
      </c>
      <c r="E99" t="s">
        <v>195</v>
      </c>
      <c r="F99" s="9">
        <v>43.400000000000006</v>
      </c>
      <c r="G99" s="9">
        <v>10940.5</v>
      </c>
      <c r="H99" s="9">
        <v>105.1</v>
      </c>
      <c r="I99" s="9">
        <v>1201.5</v>
      </c>
      <c r="J99" s="9">
        <v>9.0828310246542525</v>
      </c>
      <c r="K99" s="9">
        <v>4.5642366958061569</v>
      </c>
      <c r="L99" s="9">
        <v>14.424978336205552</v>
      </c>
      <c r="M99" s="9">
        <v>1922.6233380462227</v>
      </c>
      <c r="N99" s="9">
        <v>45.113412639701785</v>
      </c>
      <c r="O99" s="9">
        <v>43.133513652379399</v>
      </c>
      <c r="P99" s="9">
        <v>1.2741147915456048</v>
      </c>
      <c r="Q99" s="9">
        <v>0.64025868921889684</v>
      </c>
      <c r="R99" s="12" t="s">
        <v>587</v>
      </c>
      <c r="S99" t="s">
        <v>608</v>
      </c>
      <c r="T99" t="s">
        <v>579</v>
      </c>
      <c r="U99" t="s">
        <v>583</v>
      </c>
      <c r="V99" t="s">
        <v>707</v>
      </c>
      <c r="W99" s="12">
        <v>1.6358049999999931</v>
      </c>
      <c r="X99" s="12">
        <v>0.8</v>
      </c>
      <c r="Y99" s="12">
        <v>-15.999999999999996</v>
      </c>
      <c r="Z99" s="12">
        <v>-1.2000000000000028</v>
      </c>
      <c r="AA99" s="12">
        <v>-5.9</v>
      </c>
      <c r="AB99" s="10">
        <f t="shared" si="1"/>
        <v>8.8887560088407991</v>
      </c>
      <c r="AD99" s="12"/>
      <c r="AE99" s="12"/>
      <c r="AF99" s="12"/>
      <c r="AG99" s="12"/>
      <c r="AH99" s="12"/>
    </row>
    <row r="100" spans="1:34" x14ac:dyDescent="0.25">
      <c r="A100" t="s">
        <v>196</v>
      </c>
      <c r="B100" s="2"/>
      <c r="C100" s="2"/>
      <c r="D100" s="8" t="s">
        <v>741</v>
      </c>
      <c r="E100" t="s">
        <v>197</v>
      </c>
      <c r="F100" s="9">
        <v>45.633333333333333</v>
      </c>
      <c r="G100" s="9">
        <v>15092.666666666666</v>
      </c>
      <c r="H100" s="9">
        <v>100.63333333333333</v>
      </c>
      <c r="I100" s="9">
        <v>2531.6666666666665</v>
      </c>
      <c r="J100" s="9">
        <v>8.9988483799666241</v>
      </c>
      <c r="K100" s="9">
        <v>4.5220343617922731</v>
      </c>
      <c r="L100" s="9">
        <v>11.262129263845075</v>
      </c>
      <c r="M100" s="9">
        <v>7373.5003597718469</v>
      </c>
      <c r="N100" s="9">
        <v>11.058129237001308</v>
      </c>
      <c r="O100" s="9">
        <v>2008.0229635694463</v>
      </c>
      <c r="P100" s="9">
        <v>4.3535283480131524</v>
      </c>
      <c r="Q100" s="9">
        <v>2.187702687443795</v>
      </c>
      <c r="R100" s="12" t="s">
        <v>652</v>
      </c>
      <c r="S100" t="s">
        <v>657</v>
      </c>
      <c r="T100" t="s">
        <v>621</v>
      </c>
      <c r="U100" t="s">
        <v>572</v>
      </c>
      <c r="V100" t="s">
        <v>712</v>
      </c>
      <c r="W100" s="12">
        <v>0.25460499999999592</v>
      </c>
      <c r="X100" s="12">
        <v>4.5</v>
      </c>
      <c r="Y100" s="12">
        <v>-15.7</v>
      </c>
      <c r="Z100" s="12">
        <v>-1.6000000000000014</v>
      </c>
      <c r="AA100" s="12">
        <v>-10</v>
      </c>
      <c r="AB100" s="10">
        <f t="shared" si="1"/>
        <v>10.480202231707798</v>
      </c>
      <c r="AD100" s="12"/>
      <c r="AE100" s="12"/>
      <c r="AF100" s="12"/>
      <c r="AG100" s="12"/>
      <c r="AH100" s="12"/>
    </row>
    <row r="101" spans="1:34" x14ac:dyDescent="0.25">
      <c r="A101" t="s">
        <v>198</v>
      </c>
      <c r="B101" s="2"/>
      <c r="C101" s="2"/>
      <c r="D101" s="8" t="s">
        <v>741</v>
      </c>
      <c r="E101" t="s">
        <v>199</v>
      </c>
      <c r="F101" s="9">
        <v>38.35</v>
      </c>
      <c r="G101" s="9">
        <v>10179</v>
      </c>
      <c r="H101" s="9">
        <v>49.5</v>
      </c>
      <c r="I101" s="9">
        <v>1291</v>
      </c>
      <c r="J101" s="9">
        <v>8.2134123415788078</v>
      </c>
      <c r="K101" s="9">
        <v>4.127342885215481</v>
      </c>
      <c r="L101" s="9">
        <v>0.35355339059327379</v>
      </c>
      <c r="M101" s="9">
        <v>2151.0188283694774</v>
      </c>
      <c r="N101" s="9">
        <v>3.1112698372208132</v>
      </c>
      <c r="O101" s="9">
        <v>519.01637739092587</v>
      </c>
      <c r="P101" s="9">
        <v>1.6358456167115956</v>
      </c>
      <c r="Q101" s="9">
        <v>0.82203297322190727</v>
      </c>
      <c r="R101" s="12" t="s">
        <v>587</v>
      </c>
      <c r="S101" t="s">
        <v>609</v>
      </c>
      <c r="T101" t="s">
        <v>586</v>
      </c>
      <c r="U101" t="s">
        <v>583</v>
      </c>
      <c r="V101" t="s">
        <v>709</v>
      </c>
      <c r="W101" s="12">
        <v>-2.2972550000000194</v>
      </c>
      <c r="X101" s="12">
        <v>3.4</v>
      </c>
      <c r="Y101" s="12">
        <v>-6</v>
      </c>
      <c r="Z101" s="12">
        <v>-2.5999999999999996</v>
      </c>
      <c r="AA101" s="12">
        <v>-7</v>
      </c>
      <c r="AB101" s="10">
        <f t="shared" si="1"/>
        <v>4.6839631132117763</v>
      </c>
      <c r="AD101" s="12"/>
      <c r="AE101" s="12"/>
      <c r="AF101" s="12"/>
      <c r="AG101" s="12"/>
      <c r="AH101" s="12"/>
    </row>
    <row r="102" spans="1:34" x14ac:dyDescent="0.25">
      <c r="A102" t="s">
        <v>200</v>
      </c>
      <c r="B102" s="2"/>
      <c r="C102" s="2"/>
      <c r="D102" s="8" t="s">
        <v>742</v>
      </c>
      <c r="E102" t="s">
        <v>201</v>
      </c>
      <c r="F102" s="9">
        <v>51.366666666666674</v>
      </c>
      <c r="G102" s="9">
        <v>15180</v>
      </c>
      <c r="H102" s="9">
        <v>112.3</v>
      </c>
      <c r="I102" s="9">
        <v>2220</v>
      </c>
      <c r="J102" s="9">
        <v>7.241861612577071</v>
      </c>
      <c r="K102" s="9">
        <v>3.6391264384809401</v>
      </c>
      <c r="L102" s="9">
        <v>23.606002061622632</v>
      </c>
      <c r="M102" s="9">
        <v>6540.1223230150672</v>
      </c>
      <c r="N102" s="9">
        <v>37.074114959092434</v>
      </c>
      <c r="O102" s="9">
        <v>1315.2018856434172</v>
      </c>
      <c r="P102" s="9">
        <v>1.4437342938241406</v>
      </c>
      <c r="Q102" s="9">
        <v>0.72549462001213094</v>
      </c>
      <c r="R102" s="12" t="s">
        <v>587</v>
      </c>
      <c r="S102" t="s">
        <v>593</v>
      </c>
      <c r="T102" t="s">
        <v>579</v>
      </c>
      <c r="U102" t="s">
        <v>583</v>
      </c>
      <c r="V102" t="s">
        <v>707</v>
      </c>
      <c r="W102" s="12">
        <v>1.6358049999999931</v>
      </c>
      <c r="X102" s="12">
        <v>3.4</v>
      </c>
      <c r="Y102" s="12">
        <v>-14.299999999999999</v>
      </c>
      <c r="Z102" s="12">
        <v>-1.2000000000000011</v>
      </c>
      <c r="AA102" s="12">
        <v>-9</v>
      </c>
      <c r="AB102" s="10">
        <f t="shared" si="1"/>
        <v>15.544893874368473</v>
      </c>
      <c r="AD102" s="12"/>
      <c r="AE102" s="12"/>
      <c r="AF102" s="12"/>
      <c r="AG102" s="12"/>
      <c r="AH102" s="12"/>
    </row>
    <row r="103" spans="1:34" x14ac:dyDescent="0.25">
      <c r="A103" t="s">
        <v>202</v>
      </c>
      <c r="B103" s="2"/>
      <c r="C103" s="2"/>
      <c r="D103" s="8" t="s">
        <v>741</v>
      </c>
      <c r="E103" t="s">
        <v>203</v>
      </c>
      <c r="F103" s="9">
        <v>48.199999999999996</v>
      </c>
      <c r="G103" s="9">
        <v>13959.666666666666</v>
      </c>
      <c r="H103" s="9">
        <v>121.33333333333333</v>
      </c>
      <c r="I103" s="9">
        <v>2431.6666666666665</v>
      </c>
      <c r="J103" s="9">
        <v>7.2410029262112756</v>
      </c>
      <c r="K103" s="9">
        <v>3.638694937794611</v>
      </c>
      <c r="L103" s="9">
        <v>16.157351268076091</v>
      </c>
      <c r="M103" s="9">
        <v>7481.4472901675617</v>
      </c>
      <c r="N103" s="9">
        <v>15.4344492037203</v>
      </c>
      <c r="O103" s="9">
        <v>1796.0516572625509</v>
      </c>
      <c r="P103" s="9">
        <v>2.0619494490704522</v>
      </c>
      <c r="Q103" s="9">
        <v>1.0361555020454534</v>
      </c>
      <c r="R103" s="12" t="s">
        <v>652</v>
      </c>
      <c r="S103" t="s">
        <v>686</v>
      </c>
      <c r="T103" t="s">
        <v>575</v>
      </c>
      <c r="U103" t="s">
        <v>631</v>
      </c>
      <c r="V103" t="s">
        <v>713</v>
      </c>
      <c r="W103" s="12">
        <v>-2.9258350000000064</v>
      </c>
      <c r="X103" s="12">
        <v>3.4</v>
      </c>
      <c r="Y103" s="12">
        <v>-16.8</v>
      </c>
      <c r="Z103" s="12">
        <v>-1.5999999999999979</v>
      </c>
      <c r="AA103" s="12">
        <v>-10</v>
      </c>
      <c r="AB103" s="10">
        <f t="shared" si="1"/>
        <v>7.0919947947409305</v>
      </c>
      <c r="AD103" s="12"/>
      <c r="AE103" s="12"/>
      <c r="AF103" s="12"/>
      <c r="AG103" s="12"/>
      <c r="AH103" s="12"/>
    </row>
    <row r="104" spans="1:34" x14ac:dyDescent="0.25">
      <c r="A104" t="s">
        <v>204</v>
      </c>
      <c r="B104" s="2"/>
      <c r="C104" s="2"/>
      <c r="D104" s="8" t="s">
        <v>741</v>
      </c>
      <c r="E104" t="s">
        <v>205</v>
      </c>
      <c r="F104" s="9">
        <v>45.5</v>
      </c>
      <c r="G104" s="9">
        <v>12950</v>
      </c>
      <c r="H104" s="9">
        <v>95.050000000000011</v>
      </c>
      <c r="I104" s="9">
        <v>1949.5</v>
      </c>
      <c r="J104" s="9">
        <v>6.6431185480359574</v>
      </c>
      <c r="K104" s="9">
        <v>3.338250526651235</v>
      </c>
      <c r="L104" s="9">
        <v>13.152186130069767</v>
      </c>
      <c r="M104" s="9">
        <v>3889.0872965260114</v>
      </c>
      <c r="N104" s="9">
        <v>4.0305086527633227</v>
      </c>
      <c r="O104" s="9">
        <v>586.19152160364786</v>
      </c>
      <c r="P104" s="9">
        <v>2.5916765019766302E-3</v>
      </c>
      <c r="Q104" s="9">
        <v>1.3023500009932815E-3</v>
      </c>
      <c r="R104" s="12" t="s">
        <v>587</v>
      </c>
      <c r="S104" t="s">
        <v>610</v>
      </c>
      <c r="T104" t="s">
        <v>579</v>
      </c>
      <c r="U104" t="s">
        <v>583</v>
      </c>
      <c r="V104" t="s">
        <v>709</v>
      </c>
      <c r="W104" s="12">
        <v>-2.2972550000000194</v>
      </c>
      <c r="X104" s="12">
        <v>5</v>
      </c>
      <c r="Y104" s="12">
        <v>-9.2000000000000011</v>
      </c>
      <c r="Z104" s="12">
        <v>-2.5999999999999996</v>
      </c>
      <c r="AA104" s="12">
        <v>-7</v>
      </c>
      <c r="AB104" s="10">
        <f t="shared" si="1"/>
        <v>3.8791357304895904</v>
      </c>
      <c r="AD104" s="12"/>
      <c r="AE104" s="12"/>
      <c r="AF104" s="12"/>
      <c r="AG104" s="12"/>
      <c r="AH104" s="12"/>
    </row>
    <row r="105" spans="1:34" x14ac:dyDescent="0.25">
      <c r="A105" t="s">
        <v>206</v>
      </c>
      <c r="B105" s="2"/>
      <c r="C105" s="2"/>
      <c r="D105" s="8" t="s">
        <v>742</v>
      </c>
      <c r="E105" t="s">
        <v>207</v>
      </c>
      <c r="F105" s="9">
        <v>46.857142857142854</v>
      </c>
      <c r="G105" s="9">
        <v>18128.571428571428</v>
      </c>
      <c r="H105" s="9">
        <v>119.28571428571429</v>
      </c>
      <c r="I105" s="9">
        <v>3739</v>
      </c>
      <c r="J105" s="9">
        <v>6.5355014029377942</v>
      </c>
      <c r="K105" s="9">
        <v>3.2841715592652232</v>
      </c>
      <c r="L105" s="9">
        <v>10.733506568931984</v>
      </c>
      <c r="M105" s="9">
        <v>6799.09958024155</v>
      </c>
      <c r="N105" s="9">
        <v>28.490621442925395</v>
      </c>
      <c r="O105" s="9">
        <v>2806.1799657185211</v>
      </c>
      <c r="P105" s="9">
        <v>2.6214878928529415</v>
      </c>
      <c r="Q105" s="9">
        <v>1.3173305994235887</v>
      </c>
      <c r="R105" s="12" t="s">
        <v>587</v>
      </c>
      <c r="S105" t="s">
        <v>611</v>
      </c>
      <c r="T105" t="s">
        <v>579</v>
      </c>
      <c r="U105" t="s">
        <v>589</v>
      </c>
      <c r="V105" t="s">
        <v>707</v>
      </c>
      <c r="W105" s="12">
        <v>1.6358049999999931</v>
      </c>
      <c r="X105" s="12">
        <v>3.8</v>
      </c>
      <c r="Y105" s="12">
        <v>-12.600000000000001</v>
      </c>
      <c r="Z105" s="12">
        <v>-0.99999999999999822</v>
      </c>
      <c r="AA105" s="12">
        <v>-6.8000000000000007</v>
      </c>
      <c r="AB105" s="10">
        <f t="shared" si="1"/>
        <v>8.1941312406319327</v>
      </c>
      <c r="AD105" s="12"/>
      <c r="AE105" s="12"/>
      <c r="AF105" s="12"/>
      <c r="AG105" s="12"/>
      <c r="AH105" s="12"/>
    </row>
    <row r="106" spans="1:34" x14ac:dyDescent="0.25">
      <c r="A106" t="s">
        <v>208</v>
      </c>
      <c r="B106" s="2"/>
      <c r="C106" s="2"/>
      <c r="D106" s="8" t="s">
        <v>741</v>
      </c>
      <c r="E106" t="s">
        <v>209</v>
      </c>
      <c r="F106" s="9">
        <v>52.4</v>
      </c>
      <c r="G106" s="9">
        <v>13433.333333333334</v>
      </c>
      <c r="H106" s="9">
        <v>75.733333333333334</v>
      </c>
      <c r="I106" s="9">
        <v>2229.3333333333335</v>
      </c>
      <c r="J106" s="9">
        <v>6.2379436566175386</v>
      </c>
      <c r="K106" s="9">
        <v>3.1346450535766524</v>
      </c>
      <c r="L106" s="9">
        <v>1.8734993995195206</v>
      </c>
      <c r="M106" s="9">
        <v>3100.537587795593</v>
      </c>
      <c r="N106" s="9">
        <v>6.518691075157137</v>
      </c>
      <c r="O106" s="9">
        <v>756.47758283595761</v>
      </c>
      <c r="P106" s="9">
        <v>1.0167415859061117</v>
      </c>
      <c r="Q106" s="9">
        <v>0.51092542005332253</v>
      </c>
      <c r="R106" s="12" t="s">
        <v>664</v>
      </c>
      <c r="S106" t="s">
        <v>666</v>
      </c>
      <c r="T106" t="s">
        <v>585</v>
      </c>
      <c r="U106" t="s">
        <v>583</v>
      </c>
      <c r="V106" t="s">
        <v>714</v>
      </c>
      <c r="W106" s="12">
        <v>-0.33072499999999128</v>
      </c>
      <c r="X106" s="12">
        <v>5</v>
      </c>
      <c r="Y106" s="12">
        <v>-16.5</v>
      </c>
      <c r="Z106" s="12">
        <v>-4</v>
      </c>
      <c r="AA106" s="12">
        <v>-7.7999999999999989</v>
      </c>
      <c r="AB106" s="10">
        <f t="shared" si="1"/>
        <v>8.2310153233878829</v>
      </c>
      <c r="AD106" s="12"/>
      <c r="AE106" s="12"/>
      <c r="AF106" s="12"/>
      <c r="AG106" s="12"/>
      <c r="AH106" s="12"/>
    </row>
    <row r="107" spans="1:34" x14ac:dyDescent="0.25">
      <c r="A107" t="s">
        <v>210</v>
      </c>
      <c r="B107" s="2"/>
      <c r="C107" s="2"/>
      <c r="D107" s="8" t="s">
        <v>741</v>
      </c>
      <c r="E107" t="s">
        <v>211</v>
      </c>
      <c r="F107" s="9">
        <v>53.1</v>
      </c>
      <c r="G107" s="9">
        <v>13733.333333333334</v>
      </c>
      <c r="H107" s="9">
        <v>90.133333333333326</v>
      </c>
      <c r="I107" s="9">
        <v>2397.3333333333335</v>
      </c>
      <c r="J107" s="9">
        <v>5.9907137098956262</v>
      </c>
      <c r="K107" s="9">
        <v>3.0104088994450384</v>
      </c>
      <c r="L107" s="9">
        <v>7.1421285342675898</v>
      </c>
      <c r="M107" s="9">
        <v>3731.3983080519979</v>
      </c>
      <c r="N107" s="9">
        <v>9.9726292086557233</v>
      </c>
      <c r="O107" s="9">
        <v>979.17329075773603</v>
      </c>
      <c r="P107" s="9">
        <v>1.0909162747028267</v>
      </c>
      <c r="Q107" s="9">
        <v>0.54819913301649581</v>
      </c>
      <c r="R107" s="12" t="s">
        <v>664</v>
      </c>
      <c r="S107" t="s">
        <v>666</v>
      </c>
      <c r="T107" t="s">
        <v>585</v>
      </c>
      <c r="U107" t="s">
        <v>583</v>
      </c>
      <c r="V107" t="s">
        <v>715</v>
      </c>
      <c r="W107" s="12">
        <v>-1.4015800000000018</v>
      </c>
      <c r="X107" s="12">
        <v>5</v>
      </c>
      <c r="Y107" s="12">
        <v>-16.5</v>
      </c>
      <c r="Z107" s="12">
        <v>-4</v>
      </c>
      <c r="AA107" s="12">
        <v>-7.7999999999999989</v>
      </c>
      <c r="AB107" s="10">
        <f t="shared" si="1"/>
        <v>7.1828938709935128</v>
      </c>
      <c r="AD107" s="12"/>
      <c r="AE107" s="12"/>
      <c r="AF107" s="12"/>
      <c r="AG107" s="12"/>
      <c r="AH107" s="12"/>
    </row>
    <row r="108" spans="1:34" x14ac:dyDescent="0.25">
      <c r="A108" t="s">
        <v>212</v>
      </c>
      <c r="B108" s="2"/>
      <c r="C108" s="2"/>
      <c r="D108" s="8" t="s">
        <v>741</v>
      </c>
      <c r="E108" t="s">
        <v>213</v>
      </c>
      <c r="F108" s="9">
        <v>57.05</v>
      </c>
      <c r="G108" s="9">
        <v>17473.25</v>
      </c>
      <c r="H108" s="9">
        <v>169</v>
      </c>
      <c r="I108" s="9">
        <v>3572.25</v>
      </c>
      <c r="J108" s="9">
        <v>5.9869967162552316</v>
      </c>
      <c r="K108" s="9">
        <v>3.0085410634448402</v>
      </c>
      <c r="L108" s="9">
        <v>9.999624992968501</v>
      </c>
      <c r="M108" s="9">
        <v>7574.5492728940644</v>
      </c>
      <c r="N108" s="9">
        <v>38.17066936798463</v>
      </c>
      <c r="O108" s="9">
        <v>2113.7819630936392</v>
      </c>
      <c r="P108" s="9">
        <v>1.9613293245860357</v>
      </c>
      <c r="Q108" s="9">
        <v>0.9855926254201185</v>
      </c>
      <c r="R108" s="12" t="s">
        <v>652</v>
      </c>
      <c r="S108" t="s">
        <v>655</v>
      </c>
      <c r="T108" t="s">
        <v>598</v>
      </c>
      <c r="U108" t="s">
        <v>607</v>
      </c>
      <c r="V108" t="s">
        <v>713</v>
      </c>
      <c r="W108" s="12">
        <v>-2.9258350000000064</v>
      </c>
      <c r="X108" s="12">
        <v>5.4</v>
      </c>
      <c r="Y108" s="12">
        <v>-12.4</v>
      </c>
      <c r="Z108" s="12">
        <v>-1.6999999999999993</v>
      </c>
      <c r="AA108" s="12">
        <v>-9.1</v>
      </c>
      <c r="AB108" s="10">
        <f t="shared" si="1"/>
        <v>4.0929889788854954</v>
      </c>
      <c r="AD108" s="12"/>
      <c r="AE108" s="12"/>
      <c r="AF108" s="12"/>
      <c r="AG108" s="12"/>
      <c r="AH108" s="12"/>
    </row>
    <row r="109" spans="1:34" x14ac:dyDescent="0.25">
      <c r="A109" t="s">
        <v>214</v>
      </c>
      <c r="B109" s="2"/>
      <c r="C109" s="2"/>
      <c r="D109" s="8" t="s">
        <v>742</v>
      </c>
      <c r="E109" t="s">
        <v>215</v>
      </c>
      <c r="F109" s="9">
        <v>50.919999999999995</v>
      </c>
      <c r="G109" s="9">
        <v>14899.4</v>
      </c>
      <c r="H109" s="9">
        <v>145.4</v>
      </c>
      <c r="I109" s="9">
        <v>3189.6</v>
      </c>
      <c r="J109" s="9">
        <v>5.9728945076534705</v>
      </c>
      <c r="K109" s="9">
        <v>3.0014545264590304</v>
      </c>
      <c r="L109" s="9">
        <v>25.269697267676179</v>
      </c>
      <c r="M109" s="9">
        <v>7911.9090389108997</v>
      </c>
      <c r="N109" s="9">
        <v>36.302066056906455</v>
      </c>
      <c r="O109" s="9">
        <v>2735.0582882271447</v>
      </c>
      <c r="P109" s="9">
        <v>1.7854188558472808</v>
      </c>
      <c r="Q109" s="9">
        <v>0.89719540494838235</v>
      </c>
      <c r="R109" s="12" t="s">
        <v>587</v>
      </c>
      <c r="S109" t="s">
        <v>612</v>
      </c>
      <c r="T109" t="s">
        <v>605</v>
      </c>
      <c r="U109" t="s">
        <v>589</v>
      </c>
      <c r="V109" t="s">
        <v>707</v>
      </c>
      <c r="W109" s="12">
        <v>1.6358049999999931</v>
      </c>
      <c r="X109" s="12">
        <v>3.5</v>
      </c>
      <c r="Y109" s="12">
        <v>-20.299999999999997</v>
      </c>
      <c r="Z109" s="12">
        <v>-1.2000000000000028</v>
      </c>
      <c r="AA109" s="12">
        <v>-9.1</v>
      </c>
      <c r="AB109" s="10">
        <f t="shared" si="1"/>
        <v>15.313621618497853</v>
      </c>
      <c r="AD109" s="12"/>
      <c r="AE109" s="12"/>
      <c r="AF109" s="12"/>
      <c r="AG109" s="12"/>
      <c r="AH109" s="12"/>
    </row>
    <row r="110" spans="1:34" x14ac:dyDescent="0.25">
      <c r="A110" t="s">
        <v>216</v>
      </c>
      <c r="B110" s="2"/>
      <c r="C110" s="2"/>
      <c r="D110" s="8" t="s">
        <v>741</v>
      </c>
      <c r="E110" t="s">
        <v>217</v>
      </c>
      <c r="F110" s="9">
        <v>43.06666666666667</v>
      </c>
      <c r="G110" s="9">
        <v>10733.333333333334</v>
      </c>
      <c r="H110" s="9">
        <v>76.166666666666671</v>
      </c>
      <c r="I110" s="9">
        <v>1862.6666666666667</v>
      </c>
      <c r="J110" s="9">
        <v>5.7980291068609988</v>
      </c>
      <c r="K110" s="9">
        <v>2.9135824657592959</v>
      </c>
      <c r="L110" s="9">
        <v>13.000897404922981</v>
      </c>
      <c r="M110" s="9">
        <v>152.75252316519467</v>
      </c>
      <c r="N110" s="9">
        <v>29.700561161926466</v>
      </c>
      <c r="O110" s="9">
        <v>174.85517817134649</v>
      </c>
      <c r="P110" s="9">
        <v>0.57245980756096171</v>
      </c>
      <c r="Q110" s="9">
        <v>0.28766824500550842</v>
      </c>
      <c r="R110" s="12" t="s">
        <v>587</v>
      </c>
      <c r="S110" t="s">
        <v>608</v>
      </c>
      <c r="T110" t="s">
        <v>579</v>
      </c>
      <c r="U110" t="s">
        <v>583</v>
      </c>
      <c r="V110" t="s">
        <v>716</v>
      </c>
      <c r="W110" s="12">
        <v>-2.0168150000000025</v>
      </c>
      <c r="X110" s="12">
        <v>0.8</v>
      </c>
      <c r="Y110" s="12">
        <v>-15.999999999999996</v>
      </c>
      <c r="Z110" s="12">
        <v>0</v>
      </c>
      <c r="AA110" s="12">
        <v>-5.9</v>
      </c>
      <c r="AB110" s="10">
        <f t="shared" si="1"/>
        <v>1.9417523559099874</v>
      </c>
      <c r="AD110" s="12"/>
      <c r="AE110" s="12"/>
      <c r="AF110" s="12"/>
      <c r="AG110" s="12"/>
      <c r="AH110" s="12"/>
    </row>
    <row r="111" spans="1:34" x14ac:dyDescent="0.25">
      <c r="A111" t="s">
        <v>218</v>
      </c>
      <c r="B111" s="2"/>
      <c r="C111" s="2"/>
      <c r="D111" s="8" t="s">
        <v>741</v>
      </c>
      <c r="E111" t="s">
        <v>219</v>
      </c>
      <c r="F111" s="9">
        <v>54.475000000000001</v>
      </c>
      <c r="G111" s="9">
        <v>16517.75</v>
      </c>
      <c r="H111" s="9">
        <v>435.75</v>
      </c>
      <c r="I111" s="9">
        <v>3788</v>
      </c>
      <c r="J111" s="9">
        <v>5.608125424027139</v>
      </c>
      <c r="K111" s="9">
        <v>2.8181534794106224</v>
      </c>
      <c r="L111" s="9">
        <v>8.392370046655433</v>
      </c>
      <c r="M111" s="9">
        <v>6970.8711928639159</v>
      </c>
      <c r="N111" s="9">
        <v>441.34814772467325</v>
      </c>
      <c r="O111" s="9">
        <v>2433.5480270584349</v>
      </c>
      <c r="P111" s="9">
        <v>2.2101917220942999</v>
      </c>
      <c r="Q111" s="9">
        <v>1.1106491065800501</v>
      </c>
      <c r="R111" s="12" t="s">
        <v>587</v>
      </c>
      <c r="S111" t="s">
        <v>613</v>
      </c>
      <c r="T111" t="s">
        <v>614</v>
      </c>
      <c r="U111" t="s">
        <v>572</v>
      </c>
      <c r="V111" t="s">
        <v>711</v>
      </c>
      <c r="W111" s="12">
        <v>-0.63561500000000526</v>
      </c>
      <c r="X111" s="12">
        <v>4.5</v>
      </c>
      <c r="Y111" s="12">
        <v>-13.7</v>
      </c>
      <c r="Z111" s="12">
        <v>-0.5</v>
      </c>
      <c r="AA111" s="12">
        <v>-9.1</v>
      </c>
      <c r="AB111" s="10">
        <f t="shared" si="1"/>
        <v>6.3043474580460028</v>
      </c>
      <c r="AD111" s="12"/>
      <c r="AE111" s="12"/>
      <c r="AF111" s="12"/>
      <c r="AG111" s="12"/>
      <c r="AH111" s="12"/>
    </row>
    <row r="112" spans="1:34" x14ac:dyDescent="0.25">
      <c r="A112" t="s">
        <v>220</v>
      </c>
      <c r="B112" s="2"/>
      <c r="C112" s="2"/>
      <c r="D112" s="8" t="s">
        <v>741</v>
      </c>
      <c r="E112" t="s">
        <v>221</v>
      </c>
      <c r="F112" s="9">
        <v>57.3</v>
      </c>
      <c r="G112" s="9">
        <v>15425.75</v>
      </c>
      <c r="H112" s="9">
        <v>167.5</v>
      </c>
      <c r="I112" s="9">
        <v>3717.5</v>
      </c>
      <c r="J112" s="9">
        <v>5.5676766374381828</v>
      </c>
      <c r="K112" s="9">
        <v>2.7978274559990868</v>
      </c>
      <c r="L112" s="9">
        <v>9.0923044383698741</v>
      </c>
      <c r="M112" s="9">
        <v>4898.7436335758584</v>
      </c>
      <c r="N112" s="9">
        <v>33.034073318317859</v>
      </c>
      <c r="O112" s="9">
        <v>2172.366739296107</v>
      </c>
      <c r="P112" s="9">
        <v>2.8723051762910274</v>
      </c>
      <c r="Q112" s="9">
        <v>1.4433694353221243</v>
      </c>
      <c r="R112" s="12" t="s">
        <v>674</v>
      </c>
      <c r="S112" t="s">
        <v>675</v>
      </c>
      <c r="T112" t="s">
        <v>671</v>
      </c>
      <c r="U112" t="s">
        <v>631</v>
      </c>
      <c r="V112" t="s">
        <v>717</v>
      </c>
      <c r="W112" s="12">
        <v>-1.2493300000000018</v>
      </c>
      <c r="X112" s="12">
        <v>3.4</v>
      </c>
      <c r="Y112" s="12">
        <v>-9.1</v>
      </c>
      <c r="Z112" s="12">
        <v>-7.2999999999999989</v>
      </c>
      <c r="AA112" s="12">
        <v>-9.1999999999999993</v>
      </c>
      <c r="AB112" s="10">
        <f t="shared" si="1"/>
        <v>23.236923467638544</v>
      </c>
      <c r="AD112" s="12"/>
      <c r="AE112" s="12"/>
      <c r="AF112" s="12"/>
      <c r="AG112" s="12"/>
      <c r="AH112" s="12"/>
    </row>
    <row r="113" spans="1:34" x14ac:dyDescent="0.25">
      <c r="A113" t="s">
        <v>222</v>
      </c>
      <c r="B113" s="2"/>
      <c r="C113" s="2"/>
      <c r="D113" s="8" t="s">
        <v>741</v>
      </c>
      <c r="E113" t="s">
        <v>223</v>
      </c>
      <c r="F113" s="9">
        <v>53</v>
      </c>
      <c r="G113" s="9">
        <v>13600</v>
      </c>
      <c r="H113" s="9">
        <v>119.33333333333333</v>
      </c>
      <c r="I113" s="9">
        <v>2539.6666666666665</v>
      </c>
      <c r="J113" s="9">
        <v>5.4749575730123707</v>
      </c>
      <c r="K113" s="9">
        <v>2.7512349613127491</v>
      </c>
      <c r="L113" s="9">
        <v>5.370288632839018</v>
      </c>
      <c r="M113" s="9">
        <v>3244.9961479175904</v>
      </c>
      <c r="N113" s="9">
        <v>20.207259421636873</v>
      </c>
      <c r="O113" s="9">
        <v>783.73741350871717</v>
      </c>
      <c r="P113" s="9">
        <v>0.75611802412284024</v>
      </c>
      <c r="Q113" s="9">
        <v>0.37995880609187954</v>
      </c>
      <c r="R113" s="12" t="s">
        <v>587</v>
      </c>
      <c r="S113" t="s">
        <v>591</v>
      </c>
      <c r="T113" t="s">
        <v>592</v>
      </c>
      <c r="U113" t="s">
        <v>583</v>
      </c>
      <c r="V113" t="s">
        <v>718</v>
      </c>
      <c r="W113" s="12">
        <v>-1.7064700000000084</v>
      </c>
      <c r="X113" s="12">
        <v>5</v>
      </c>
      <c r="Y113" s="12">
        <v>-21.5</v>
      </c>
      <c r="Z113" s="12">
        <v>0</v>
      </c>
      <c r="AA113" s="12">
        <v>-9</v>
      </c>
      <c r="AB113" s="10">
        <f t="shared" si="1"/>
        <v>3.8706562183222504</v>
      </c>
      <c r="AD113" s="12"/>
      <c r="AE113" s="12"/>
      <c r="AF113" s="12"/>
      <c r="AG113" s="12"/>
      <c r="AH113" s="12"/>
    </row>
    <row r="114" spans="1:34" x14ac:dyDescent="0.25">
      <c r="A114" t="s">
        <v>224</v>
      </c>
      <c r="B114" s="2"/>
      <c r="C114" s="2"/>
      <c r="D114" s="8" t="s">
        <v>741</v>
      </c>
      <c r="E114" t="s">
        <v>225</v>
      </c>
      <c r="F114" s="9">
        <v>23.3</v>
      </c>
      <c r="G114" s="9">
        <v>9445</v>
      </c>
      <c r="H114" s="9">
        <v>105</v>
      </c>
      <c r="I114" s="9">
        <v>1752</v>
      </c>
      <c r="J114" s="9">
        <v>5.3909817351598175</v>
      </c>
      <c r="K114" s="9">
        <v>2.7090360478190036</v>
      </c>
      <c r="R114" s="12" t="s">
        <v>587</v>
      </c>
      <c r="S114" t="s">
        <v>594</v>
      </c>
      <c r="T114" t="s">
        <v>592</v>
      </c>
      <c r="U114" t="s">
        <v>583</v>
      </c>
      <c r="V114" t="s">
        <v>719</v>
      </c>
      <c r="W114" s="12">
        <v>-2.441070000000007</v>
      </c>
      <c r="X114" s="12">
        <v>0.8</v>
      </c>
      <c r="Y114" s="12">
        <v>-22.5</v>
      </c>
      <c r="Z114" s="12">
        <v>-0.30000000000000071</v>
      </c>
      <c r="AA114" s="12">
        <v>-8.1</v>
      </c>
      <c r="AB114" s="10">
        <f t="shared" si="1"/>
        <v>3.3688029988817298</v>
      </c>
      <c r="AD114" s="12"/>
      <c r="AE114" s="12"/>
      <c r="AF114" s="12"/>
      <c r="AG114" s="12"/>
      <c r="AH114" s="12"/>
    </row>
    <row r="115" spans="1:34" x14ac:dyDescent="0.25">
      <c r="A115" t="s">
        <v>226</v>
      </c>
      <c r="B115" s="2"/>
      <c r="C115" s="2"/>
      <c r="D115" s="8" t="s">
        <v>741</v>
      </c>
      <c r="E115" t="s">
        <v>227</v>
      </c>
      <c r="F115" s="9">
        <v>66.533333333333331</v>
      </c>
      <c r="G115" s="9">
        <v>14400</v>
      </c>
      <c r="H115" s="9">
        <v>119.3</v>
      </c>
      <c r="I115" s="9">
        <v>2816.3333333333335</v>
      </c>
      <c r="J115" s="9">
        <v>5.2758281738525508</v>
      </c>
      <c r="K115" s="9">
        <v>2.651169936609322</v>
      </c>
      <c r="L115" s="9">
        <v>19.935479260186725</v>
      </c>
      <c r="M115" s="9">
        <v>3988.7341350358261</v>
      </c>
      <c r="N115" s="9">
        <v>27.827504379660109</v>
      </c>
      <c r="O115" s="9">
        <v>1045.4938227140963</v>
      </c>
      <c r="P115" s="9">
        <v>0.82396419105316676</v>
      </c>
      <c r="Q115" s="9">
        <v>0.41405235731314916</v>
      </c>
      <c r="R115" s="12" t="s">
        <v>664</v>
      </c>
      <c r="S115" t="s">
        <v>665</v>
      </c>
      <c r="T115" t="s">
        <v>574</v>
      </c>
      <c r="U115" t="s">
        <v>583</v>
      </c>
      <c r="V115" t="s">
        <v>715</v>
      </c>
      <c r="W115" s="12">
        <v>-1.4015800000000018</v>
      </c>
      <c r="X115" s="12">
        <v>0.8</v>
      </c>
      <c r="Y115" s="12">
        <v>-11.999999999999998</v>
      </c>
      <c r="Z115" s="12">
        <v>-4.0000000000000018</v>
      </c>
      <c r="AA115" s="12">
        <v>-7.7999999999999989</v>
      </c>
      <c r="AB115" s="10">
        <f t="shared" si="1"/>
        <v>16.565597555781714</v>
      </c>
      <c r="AD115" s="12"/>
      <c r="AE115" s="12"/>
      <c r="AF115" s="12"/>
      <c r="AG115" s="12"/>
      <c r="AH115" s="12"/>
    </row>
    <row r="116" spans="1:34" x14ac:dyDescent="0.25">
      <c r="A116" t="s">
        <v>228</v>
      </c>
      <c r="B116" s="2"/>
      <c r="C116" s="2"/>
      <c r="D116" s="8" t="s">
        <v>741</v>
      </c>
      <c r="E116" t="s">
        <v>229</v>
      </c>
      <c r="F116" s="9">
        <v>50.6</v>
      </c>
      <c r="G116" s="9">
        <v>11159.666666666666</v>
      </c>
      <c r="H116" s="9">
        <v>81.266666666666666</v>
      </c>
      <c r="I116" s="9">
        <v>2251.3333333333335</v>
      </c>
      <c r="J116" s="9">
        <v>5.2450630723672553</v>
      </c>
      <c r="K116" s="9">
        <v>2.6357100866167111</v>
      </c>
      <c r="L116" s="9">
        <v>7.2270325860618314</v>
      </c>
      <c r="M116" s="9">
        <v>3267.9474189976409</v>
      </c>
      <c r="N116" s="9">
        <v>4.221768981521052</v>
      </c>
      <c r="O116" s="9">
        <v>995.37396657403747</v>
      </c>
      <c r="P116" s="9">
        <v>1.1188460186381912</v>
      </c>
      <c r="Q116" s="9">
        <v>0.56223418022019656</v>
      </c>
      <c r="R116" s="12" t="s">
        <v>645</v>
      </c>
      <c r="S116" t="s">
        <v>646</v>
      </c>
      <c r="T116" t="s">
        <v>579</v>
      </c>
      <c r="U116" t="s">
        <v>583</v>
      </c>
      <c r="V116" t="s">
        <v>720</v>
      </c>
      <c r="W116" s="12">
        <v>-2.0228349999999917</v>
      </c>
      <c r="X116" s="12">
        <v>5</v>
      </c>
      <c r="Y116" s="12">
        <v>-11.8</v>
      </c>
      <c r="Z116" s="12">
        <v>-7</v>
      </c>
      <c r="AA116" s="12">
        <v>-5.9</v>
      </c>
      <c r="AB116" s="10">
        <f t="shared" si="1"/>
        <v>7.6731477378224682</v>
      </c>
      <c r="AD116" s="12"/>
      <c r="AE116" s="12"/>
      <c r="AF116" s="12"/>
      <c r="AG116" s="12"/>
      <c r="AH116" s="12"/>
    </row>
    <row r="117" spans="1:34" x14ac:dyDescent="0.25">
      <c r="A117" t="s">
        <v>230</v>
      </c>
      <c r="B117" s="2"/>
      <c r="C117" s="2"/>
      <c r="D117" s="8" t="s">
        <v>741</v>
      </c>
      <c r="E117" t="s">
        <v>231</v>
      </c>
      <c r="F117" s="9">
        <v>53.524999999999999</v>
      </c>
      <c r="G117" s="9">
        <v>15076</v>
      </c>
      <c r="H117" s="9">
        <v>234.5</v>
      </c>
      <c r="I117" s="9">
        <v>3745.75</v>
      </c>
      <c r="J117" s="9">
        <v>5.1988032202706833</v>
      </c>
      <c r="K117" s="9">
        <v>2.6124639297842629</v>
      </c>
      <c r="L117" s="9">
        <v>10.216744833849948</v>
      </c>
      <c r="M117" s="9">
        <v>5909.7993197738961</v>
      </c>
      <c r="N117" s="9">
        <v>111.35191960626453</v>
      </c>
      <c r="O117" s="9">
        <v>2268.6959222205164</v>
      </c>
      <c r="P117" s="9">
        <v>2.183586188592944</v>
      </c>
      <c r="Q117" s="9">
        <v>1.0972794917552482</v>
      </c>
      <c r="R117" s="12" t="s">
        <v>652</v>
      </c>
      <c r="S117" t="s">
        <v>658</v>
      </c>
      <c r="T117" t="s">
        <v>633</v>
      </c>
      <c r="U117" t="s">
        <v>631</v>
      </c>
      <c r="V117" t="s">
        <v>713</v>
      </c>
      <c r="W117" s="12">
        <v>-2.9258350000000064</v>
      </c>
      <c r="X117" s="12">
        <v>4.2</v>
      </c>
      <c r="Y117" s="12">
        <v>-13.600000000000001</v>
      </c>
      <c r="Z117" s="12">
        <v>-1.6999999999999993</v>
      </c>
      <c r="AA117" s="12">
        <v>-9.1</v>
      </c>
      <c r="AB117" s="10">
        <f t="shared" si="1"/>
        <v>5.0581458609440721</v>
      </c>
      <c r="AD117" s="12"/>
      <c r="AE117" s="12"/>
      <c r="AF117" s="12"/>
      <c r="AG117" s="12"/>
      <c r="AH117" s="12"/>
    </row>
    <row r="118" spans="1:34" x14ac:dyDescent="0.25">
      <c r="A118" t="s">
        <v>232</v>
      </c>
      <c r="B118" s="2"/>
      <c r="C118" s="2"/>
      <c r="D118" s="8" t="s">
        <v>741</v>
      </c>
      <c r="E118" t="s">
        <v>233</v>
      </c>
      <c r="F118" s="9">
        <v>45.150000000000006</v>
      </c>
      <c r="G118" s="9">
        <v>10800</v>
      </c>
      <c r="H118" s="9">
        <v>112.5</v>
      </c>
      <c r="I118" s="9">
        <v>2109</v>
      </c>
      <c r="J118" s="9">
        <v>5.1319125657493396</v>
      </c>
      <c r="K118" s="9">
        <v>2.5788505355524318</v>
      </c>
      <c r="L118" s="9">
        <v>0.7778174593052033</v>
      </c>
      <c r="M118" s="9">
        <v>1131.3708498984761</v>
      </c>
      <c r="N118" s="9">
        <v>0.70710678118654757</v>
      </c>
      <c r="O118" s="9">
        <v>66.468037431535464</v>
      </c>
      <c r="P118" s="9">
        <v>0.69818824391373657</v>
      </c>
      <c r="Q118" s="9">
        <v>0.35084836377574702</v>
      </c>
      <c r="R118" s="12" t="s">
        <v>587</v>
      </c>
      <c r="S118" t="s">
        <v>600</v>
      </c>
      <c r="T118" t="s">
        <v>579</v>
      </c>
      <c r="U118" t="s">
        <v>583</v>
      </c>
      <c r="V118" t="s">
        <v>718</v>
      </c>
      <c r="W118" s="12">
        <v>-1.7064700000000084</v>
      </c>
      <c r="X118" s="12">
        <v>3.4</v>
      </c>
      <c r="Y118" s="12">
        <v>-11.6</v>
      </c>
      <c r="Z118" s="12">
        <v>0</v>
      </c>
      <c r="AA118" s="12">
        <v>-7</v>
      </c>
      <c r="AB118" s="10">
        <f t="shared" si="1"/>
        <v>2.6289124658712959</v>
      </c>
      <c r="AD118" s="12"/>
      <c r="AE118" s="12"/>
      <c r="AF118" s="12"/>
      <c r="AG118" s="12"/>
      <c r="AH118" s="12"/>
    </row>
    <row r="119" spans="1:34" x14ac:dyDescent="0.25">
      <c r="A119" t="s">
        <v>234</v>
      </c>
      <c r="B119" s="2"/>
      <c r="C119" s="2"/>
      <c r="D119" s="8" t="s">
        <v>741</v>
      </c>
      <c r="E119" t="s">
        <v>235</v>
      </c>
      <c r="F119" s="9">
        <v>52</v>
      </c>
      <c r="G119" s="9">
        <v>15469.4</v>
      </c>
      <c r="H119" s="9">
        <v>154</v>
      </c>
      <c r="I119" s="9">
        <v>3824.4</v>
      </c>
      <c r="J119" s="9">
        <v>5.1129959548019688</v>
      </c>
      <c r="K119" s="9">
        <v>2.5693447009055119</v>
      </c>
      <c r="L119" s="9">
        <v>8.5435355679015892</v>
      </c>
      <c r="M119" s="9">
        <v>6524.4452208597777</v>
      </c>
      <c r="N119" s="9">
        <v>21.753160689885963</v>
      </c>
      <c r="O119" s="9">
        <v>2394.0670500217825</v>
      </c>
      <c r="P119" s="9">
        <v>2.0636228371085639</v>
      </c>
      <c r="Q119" s="9">
        <v>1.0369964005570673</v>
      </c>
      <c r="R119" s="12" t="s">
        <v>587</v>
      </c>
      <c r="S119" t="s">
        <v>615</v>
      </c>
      <c r="T119" t="s">
        <v>598</v>
      </c>
      <c r="U119" t="s">
        <v>607</v>
      </c>
      <c r="V119" t="s">
        <v>711</v>
      </c>
      <c r="W119" s="12">
        <v>-0.63561500000000526</v>
      </c>
      <c r="X119" s="12">
        <v>4.5999999999999996</v>
      </c>
      <c r="Y119" s="12">
        <v>-13.6</v>
      </c>
      <c r="Z119" s="12">
        <v>-0.5</v>
      </c>
      <c r="AA119" s="12">
        <v>-9.1</v>
      </c>
      <c r="AB119" s="10">
        <f t="shared" si="1"/>
        <v>6.164919904540846</v>
      </c>
      <c r="AD119" s="12"/>
      <c r="AE119" s="12"/>
      <c r="AF119" s="12"/>
      <c r="AG119" s="12"/>
      <c r="AH119" s="12"/>
    </row>
    <row r="120" spans="1:34" x14ac:dyDescent="0.25">
      <c r="A120" t="s">
        <v>236</v>
      </c>
      <c r="B120" s="2"/>
      <c r="C120" s="2"/>
      <c r="D120" s="8" t="s">
        <v>742</v>
      </c>
      <c r="E120" t="s">
        <v>237</v>
      </c>
      <c r="F120" s="9">
        <v>41.533333333333331</v>
      </c>
      <c r="G120" s="9">
        <v>12971.333333333334</v>
      </c>
      <c r="H120" s="9">
        <v>229.66666666666666</v>
      </c>
      <c r="I120" s="9">
        <v>2712.3333333333335</v>
      </c>
      <c r="J120" s="9">
        <v>5.0478662451654479</v>
      </c>
      <c r="K120" s="9">
        <v>2.5366162036007278</v>
      </c>
      <c r="L120" s="9">
        <v>14.560677639908583</v>
      </c>
      <c r="M120" s="9">
        <v>4593.415432260982</v>
      </c>
      <c r="N120" s="9">
        <v>61.272614872660107</v>
      </c>
      <c r="O120" s="9">
        <v>1361.9182550114137</v>
      </c>
      <c r="P120" s="9">
        <v>0.795774639428796</v>
      </c>
      <c r="Q120" s="9">
        <v>0.39988675348180702</v>
      </c>
      <c r="R120" s="12" t="s">
        <v>587</v>
      </c>
      <c r="S120" t="s">
        <v>600</v>
      </c>
      <c r="T120" t="s">
        <v>579</v>
      </c>
      <c r="U120" t="s">
        <v>583</v>
      </c>
      <c r="V120" t="s">
        <v>707</v>
      </c>
      <c r="W120" s="12">
        <v>1.6358049999999931</v>
      </c>
      <c r="X120" s="12">
        <v>3.4</v>
      </c>
      <c r="Y120" s="12">
        <v>-11.6</v>
      </c>
      <c r="Z120" s="12">
        <v>-1.2000000000000011</v>
      </c>
      <c r="AA120" s="12">
        <v>-7</v>
      </c>
      <c r="AB120" s="10">
        <f t="shared" si="1"/>
        <v>9.8512771263045504</v>
      </c>
      <c r="AD120" s="12"/>
      <c r="AE120" s="12"/>
      <c r="AF120" s="12"/>
      <c r="AG120" s="12"/>
      <c r="AH120" s="12"/>
    </row>
    <row r="121" spans="1:34" x14ac:dyDescent="0.25">
      <c r="A121" t="s">
        <v>238</v>
      </c>
      <c r="B121" s="2"/>
      <c r="C121" s="2"/>
      <c r="D121" s="8" t="s">
        <v>741</v>
      </c>
      <c r="E121" t="s">
        <v>239</v>
      </c>
      <c r="F121" s="9">
        <v>53.65</v>
      </c>
      <c r="G121" s="9">
        <v>15000</v>
      </c>
      <c r="H121" s="9">
        <v>128.5</v>
      </c>
      <c r="I121" s="9">
        <v>3029.5</v>
      </c>
      <c r="J121" s="9">
        <v>4.9477737005616245</v>
      </c>
      <c r="K121" s="9">
        <v>2.4863184424932787</v>
      </c>
      <c r="L121" s="9">
        <v>0.21213203435596223</v>
      </c>
      <c r="M121" s="9">
        <v>1697.0562748477141</v>
      </c>
      <c r="N121" s="9">
        <v>13.435028842544403</v>
      </c>
      <c r="O121" s="9">
        <v>299.10616844190963</v>
      </c>
      <c r="P121" s="9">
        <v>7.1677386022471881E-2</v>
      </c>
      <c r="Q121" s="9">
        <v>3.6018786945965768E-2</v>
      </c>
      <c r="R121" s="12" t="s">
        <v>587</v>
      </c>
      <c r="S121" t="s">
        <v>594</v>
      </c>
      <c r="T121" t="s">
        <v>592</v>
      </c>
      <c r="U121" t="s">
        <v>583</v>
      </c>
      <c r="V121" t="s">
        <v>718</v>
      </c>
      <c r="W121" s="12">
        <v>-1.7064700000000084</v>
      </c>
      <c r="X121" s="12">
        <v>0.8</v>
      </c>
      <c r="Y121" s="12">
        <v>-22.5</v>
      </c>
      <c r="Z121" s="12">
        <v>0</v>
      </c>
      <c r="AA121" s="12">
        <v>-8.1</v>
      </c>
      <c r="AB121" s="10">
        <f t="shared" si="1"/>
        <v>3.8686134587283836</v>
      </c>
      <c r="AD121" s="12"/>
      <c r="AE121" s="12"/>
      <c r="AF121" s="12"/>
      <c r="AG121" s="12"/>
      <c r="AH121" s="12"/>
    </row>
    <row r="122" spans="1:34" x14ac:dyDescent="0.25">
      <c r="A122" t="s">
        <v>240</v>
      </c>
      <c r="B122" s="2"/>
      <c r="C122" s="2"/>
      <c r="D122" s="8" t="s">
        <v>741</v>
      </c>
      <c r="E122" t="s">
        <v>241</v>
      </c>
      <c r="F122" s="9">
        <v>47.2</v>
      </c>
      <c r="G122" s="9">
        <v>14028.5</v>
      </c>
      <c r="H122" s="9">
        <v>179.25</v>
      </c>
      <c r="I122" s="9">
        <v>4235</v>
      </c>
      <c r="J122" s="9">
        <v>4.8376121391512985</v>
      </c>
      <c r="K122" s="9">
        <v>2.4309608739453763</v>
      </c>
      <c r="L122" s="9">
        <v>10.246462804304725</v>
      </c>
      <c r="M122" s="9">
        <v>5080.4858773546457</v>
      </c>
      <c r="N122" s="9">
        <v>87.118812549299591</v>
      </c>
      <c r="O122" s="9">
        <v>3186.4341355188876</v>
      </c>
      <c r="P122" s="9">
        <v>2.3666833964766694</v>
      </c>
      <c r="Q122" s="9">
        <v>1.1892881389329997</v>
      </c>
      <c r="R122" s="12" t="s">
        <v>573</v>
      </c>
      <c r="S122" t="s">
        <v>667</v>
      </c>
      <c r="T122" t="s">
        <v>574</v>
      </c>
      <c r="U122" t="s">
        <v>607</v>
      </c>
      <c r="V122" t="s">
        <v>699</v>
      </c>
      <c r="W122" s="12">
        <v>0.56494999999999707</v>
      </c>
      <c r="X122" s="12">
        <v>4.5999999999999996</v>
      </c>
      <c r="Y122" s="12">
        <v>-8.9</v>
      </c>
      <c r="Z122" s="12">
        <v>-2.9000000000000004</v>
      </c>
      <c r="AA122" s="12">
        <v>-8</v>
      </c>
      <c r="AB122" s="10">
        <f t="shared" si="1"/>
        <v>9.6058758480899851</v>
      </c>
      <c r="AD122" s="12"/>
      <c r="AE122" s="12"/>
      <c r="AF122" s="12"/>
      <c r="AG122" s="12"/>
      <c r="AH122" s="12"/>
    </row>
    <row r="123" spans="1:34" x14ac:dyDescent="0.25">
      <c r="A123" t="s">
        <v>242</v>
      </c>
      <c r="B123" s="2"/>
      <c r="C123" s="2"/>
      <c r="D123" s="8" t="s">
        <v>741</v>
      </c>
      <c r="E123" t="s">
        <v>243</v>
      </c>
      <c r="F123" s="9">
        <v>47.36</v>
      </c>
      <c r="G123" s="9">
        <v>15920</v>
      </c>
      <c r="H123" s="9">
        <v>347.2</v>
      </c>
      <c r="I123" s="9">
        <v>4369.2</v>
      </c>
      <c r="J123" s="9">
        <v>4.8095881787244323</v>
      </c>
      <c r="K123" s="9">
        <v>2.4168784817710716</v>
      </c>
      <c r="L123" s="9">
        <v>12.560509543804338</v>
      </c>
      <c r="M123" s="9">
        <v>6530.6661222267367</v>
      </c>
      <c r="N123" s="9">
        <v>453.48225985147423</v>
      </c>
      <c r="O123" s="9">
        <v>3526.8044686372959</v>
      </c>
      <c r="P123" s="9">
        <v>1.7657165289292156</v>
      </c>
      <c r="Q123" s="9">
        <v>0.88729473815538473</v>
      </c>
      <c r="R123" s="12" t="s">
        <v>587</v>
      </c>
      <c r="S123" t="s">
        <v>615</v>
      </c>
      <c r="T123" t="s">
        <v>598</v>
      </c>
      <c r="U123" t="s">
        <v>607</v>
      </c>
      <c r="V123" t="s">
        <v>721</v>
      </c>
      <c r="W123" s="12">
        <v>-3.7230100000000093</v>
      </c>
      <c r="X123" s="12">
        <v>4.5999999999999996</v>
      </c>
      <c r="Y123" s="12">
        <v>-13.6</v>
      </c>
      <c r="Z123" s="12">
        <v>0</v>
      </c>
      <c r="AA123" s="12">
        <v>-9.1</v>
      </c>
      <c r="AB123" s="10">
        <f t="shared" si="1"/>
        <v>2.5269939051730494</v>
      </c>
      <c r="AD123" s="12"/>
      <c r="AE123" s="12"/>
      <c r="AF123" s="12"/>
      <c r="AG123" s="12"/>
      <c r="AH123" s="12"/>
    </row>
    <row r="124" spans="1:34" x14ac:dyDescent="0.25">
      <c r="A124" t="s">
        <v>244</v>
      </c>
      <c r="B124" s="2"/>
      <c r="C124" s="2"/>
      <c r="D124" s="8" t="s">
        <v>741</v>
      </c>
      <c r="E124" t="s">
        <v>245</v>
      </c>
      <c r="F124" s="9">
        <v>48.400000000000006</v>
      </c>
      <c r="G124" s="9">
        <v>12350</v>
      </c>
      <c r="H124" s="9">
        <v>92.1</v>
      </c>
      <c r="I124" s="9">
        <v>2770.5</v>
      </c>
      <c r="J124" s="9">
        <v>4.7178523616495465</v>
      </c>
      <c r="K124" s="9">
        <v>2.3707800812309281</v>
      </c>
      <c r="L124" s="9">
        <v>17.394826817189067</v>
      </c>
      <c r="M124" s="9">
        <v>777.81745930520231</v>
      </c>
      <c r="N124" s="9">
        <v>28.1428498912246</v>
      </c>
      <c r="O124" s="9">
        <v>1006.2129496284572</v>
      </c>
      <c r="P124" s="9">
        <v>1.4327185278548158</v>
      </c>
      <c r="Q124" s="9">
        <v>0.71995905922352554</v>
      </c>
      <c r="R124" s="12" t="s">
        <v>664</v>
      </c>
      <c r="S124" t="s">
        <v>665</v>
      </c>
      <c r="T124" t="s">
        <v>574</v>
      </c>
      <c r="U124" t="s">
        <v>583</v>
      </c>
      <c r="V124" t="s">
        <v>714</v>
      </c>
      <c r="W124" s="12">
        <v>-0.33072499999999128</v>
      </c>
      <c r="X124" s="12">
        <v>0.8</v>
      </c>
      <c r="Y124" s="12">
        <v>-11.999999999999998</v>
      </c>
      <c r="Z124" s="12">
        <v>-4.0000000000000018</v>
      </c>
      <c r="AA124" s="12">
        <v>-7.7999999999999989</v>
      </c>
      <c r="AB124" s="10">
        <f t="shared" si="1"/>
        <v>24.38185750097195</v>
      </c>
      <c r="AD124" s="12"/>
      <c r="AE124" s="12"/>
      <c r="AF124" s="12"/>
      <c r="AG124" s="12"/>
      <c r="AH124" s="12"/>
    </row>
    <row r="125" spans="1:34" x14ac:dyDescent="0.25">
      <c r="A125" t="s">
        <v>246</v>
      </c>
      <c r="B125" s="2"/>
      <c r="C125" s="2"/>
      <c r="D125" s="8" t="s">
        <v>741</v>
      </c>
      <c r="E125" t="s">
        <v>247</v>
      </c>
      <c r="F125" s="9">
        <v>49.1</v>
      </c>
      <c r="G125" s="9">
        <v>8263</v>
      </c>
      <c r="H125" s="9">
        <v>155</v>
      </c>
      <c r="I125" s="9">
        <v>1790</v>
      </c>
      <c r="J125" s="9">
        <v>4.6991268858930191</v>
      </c>
      <c r="K125" s="9">
        <v>2.3613702944186024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12" t="s">
        <v>587</v>
      </c>
      <c r="S125" t="s">
        <v>619</v>
      </c>
      <c r="T125" t="s">
        <v>579</v>
      </c>
      <c r="U125" t="s">
        <v>607</v>
      </c>
      <c r="V125" t="s">
        <v>721</v>
      </c>
      <c r="W125" s="12">
        <v>-3.7230100000000093</v>
      </c>
      <c r="X125" s="12">
        <v>4.5999999999999996</v>
      </c>
      <c r="Y125" s="12">
        <v>-13.1</v>
      </c>
      <c r="Z125" s="12">
        <v>0</v>
      </c>
      <c r="AA125" s="12">
        <v>-10</v>
      </c>
      <c r="AB125" s="10">
        <f t="shared" si="1"/>
        <v>3.1593640047135678</v>
      </c>
      <c r="AD125" s="12"/>
      <c r="AE125" s="12"/>
      <c r="AF125" s="12"/>
      <c r="AG125" s="12"/>
      <c r="AH125" s="12"/>
    </row>
    <row r="126" spans="1:34" x14ac:dyDescent="0.25">
      <c r="A126" t="s">
        <v>248</v>
      </c>
      <c r="B126" s="2"/>
      <c r="C126" s="2"/>
      <c r="D126" s="8" t="s">
        <v>741</v>
      </c>
      <c r="E126" t="s">
        <v>249</v>
      </c>
      <c r="F126" s="9">
        <v>47.7</v>
      </c>
      <c r="G126" s="9">
        <v>16813.75</v>
      </c>
      <c r="H126" s="9">
        <v>158.27500000000001</v>
      </c>
      <c r="I126" s="9">
        <v>4696.25</v>
      </c>
      <c r="J126" s="9">
        <v>4.6750002065763212</v>
      </c>
      <c r="K126" s="9">
        <v>2.3492463349629755</v>
      </c>
      <c r="L126" s="9">
        <v>14.257103492645321</v>
      </c>
      <c r="M126" s="9">
        <v>7171.7896781417121</v>
      </c>
      <c r="N126" s="9">
        <v>41.336749690801724</v>
      </c>
      <c r="O126" s="9">
        <v>3100.1255115720719</v>
      </c>
      <c r="P126" s="9">
        <v>2.0427482686214482</v>
      </c>
      <c r="Q126" s="9">
        <v>1.0265066676489689</v>
      </c>
      <c r="R126" s="12" t="s">
        <v>652</v>
      </c>
      <c r="S126" t="s">
        <v>655</v>
      </c>
      <c r="T126" t="s">
        <v>598</v>
      </c>
      <c r="U126" t="s">
        <v>607</v>
      </c>
      <c r="V126" t="s">
        <v>722</v>
      </c>
      <c r="W126" s="12">
        <v>-2.0168150000000025</v>
      </c>
      <c r="X126" s="12">
        <v>5.4</v>
      </c>
      <c r="Y126" s="12">
        <v>-12.4</v>
      </c>
      <c r="Z126" s="12">
        <v>-1.6999999999999993</v>
      </c>
      <c r="AA126" s="12">
        <v>-9.1</v>
      </c>
      <c r="AB126" s="10">
        <f t="shared" si="1"/>
        <v>4.8815425736727116</v>
      </c>
      <c r="AD126" s="12"/>
      <c r="AE126" s="12"/>
      <c r="AF126" s="12"/>
      <c r="AG126" s="12"/>
      <c r="AH126" s="12"/>
    </row>
    <row r="127" spans="1:34" x14ac:dyDescent="0.25">
      <c r="A127" t="s">
        <v>250</v>
      </c>
      <c r="B127" s="2"/>
      <c r="C127" s="2"/>
      <c r="D127" s="8" t="s">
        <v>741</v>
      </c>
      <c r="E127" t="s">
        <v>251</v>
      </c>
      <c r="F127" s="9">
        <v>54.699999999999996</v>
      </c>
      <c r="G127" s="9">
        <v>16466.666666666668</v>
      </c>
      <c r="H127" s="9">
        <v>155.66666666666666</v>
      </c>
      <c r="I127" s="9">
        <v>3812</v>
      </c>
      <c r="J127" s="9">
        <v>4.6521511689377162</v>
      </c>
      <c r="K127" s="9">
        <v>2.337764406501365</v>
      </c>
      <c r="L127" s="9">
        <v>29.371414674816076</v>
      </c>
      <c r="M127" s="9">
        <v>6795.0962710864751</v>
      </c>
      <c r="N127" s="9">
        <v>5.6862407030773268</v>
      </c>
      <c r="O127" s="9">
        <v>2352.7201278520147</v>
      </c>
      <c r="P127" s="9">
        <v>0.92292906130584096</v>
      </c>
      <c r="Q127" s="9">
        <v>0.46378344789238241</v>
      </c>
      <c r="R127" s="12" t="s">
        <v>587</v>
      </c>
      <c r="S127" t="s">
        <v>593</v>
      </c>
      <c r="T127" t="s">
        <v>579</v>
      </c>
      <c r="U127" t="s">
        <v>583</v>
      </c>
      <c r="V127" t="s">
        <v>718</v>
      </c>
      <c r="W127" s="12">
        <v>-1.7064700000000084</v>
      </c>
      <c r="X127" s="12">
        <v>3.4</v>
      </c>
      <c r="Y127" s="12">
        <v>-14.299999999999999</v>
      </c>
      <c r="Z127" s="12">
        <v>0</v>
      </c>
      <c r="AA127" s="12">
        <v>-9</v>
      </c>
      <c r="AB127" s="10">
        <f t="shared" si="1"/>
        <v>4.6708701726114157</v>
      </c>
      <c r="AD127" s="12"/>
      <c r="AE127" s="12"/>
      <c r="AF127" s="12"/>
      <c r="AG127" s="12"/>
      <c r="AH127" s="12"/>
    </row>
    <row r="128" spans="1:34" x14ac:dyDescent="0.25">
      <c r="A128" t="s">
        <v>252</v>
      </c>
      <c r="B128" s="2"/>
      <c r="C128" s="2"/>
      <c r="D128" s="8" t="s">
        <v>741</v>
      </c>
      <c r="E128" t="s">
        <v>253</v>
      </c>
      <c r="F128" s="9">
        <v>51.599999999999994</v>
      </c>
      <c r="G128" s="9">
        <v>12550</v>
      </c>
      <c r="H128" s="9">
        <v>104.35</v>
      </c>
      <c r="I128" s="9">
        <v>3049</v>
      </c>
      <c r="J128" s="9">
        <v>4.6501522009221032</v>
      </c>
      <c r="K128" s="9">
        <v>2.3367598999608559</v>
      </c>
      <c r="L128" s="9">
        <v>1.8384776310850246</v>
      </c>
      <c r="M128" s="9">
        <v>2757.7164466275353</v>
      </c>
      <c r="N128" s="9">
        <v>32.031937187750636</v>
      </c>
      <c r="O128" s="9">
        <v>1787.5659428395923</v>
      </c>
      <c r="P128" s="9">
        <v>1.8218226489870073</v>
      </c>
      <c r="Q128" s="9">
        <v>0.91548876833517956</v>
      </c>
      <c r="R128" s="12" t="s">
        <v>587</v>
      </c>
      <c r="S128" t="s">
        <v>590</v>
      </c>
      <c r="T128" t="s">
        <v>586</v>
      </c>
      <c r="U128" t="s">
        <v>583</v>
      </c>
      <c r="V128" t="s">
        <v>719</v>
      </c>
      <c r="W128" s="12">
        <v>-2.441070000000007</v>
      </c>
      <c r="X128" s="12">
        <v>0.8</v>
      </c>
      <c r="Y128" s="12">
        <v>-11.6</v>
      </c>
      <c r="Z128" s="12">
        <v>-0.5</v>
      </c>
      <c r="AA128" s="12">
        <v>-9</v>
      </c>
      <c r="AB128" s="10">
        <f t="shared" si="1"/>
        <v>4.8389529110554994</v>
      </c>
      <c r="AD128" s="12"/>
      <c r="AE128" s="12"/>
      <c r="AF128" s="12"/>
      <c r="AG128" s="12"/>
      <c r="AH128" s="12"/>
    </row>
    <row r="129" spans="1:34" x14ac:dyDescent="0.25">
      <c r="A129" t="s">
        <v>254</v>
      </c>
      <c r="B129" s="2"/>
      <c r="C129" s="2"/>
      <c r="D129" s="8" t="s">
        <v>741</v>
      </c>
      <c r="E129" t="s">
        <v>255</v>
      </c>
      <c r="F129" s="9">
        <v>45.5</v>
      </c>
      <c r="G129" s="9">
        <v>12400</v>
      </c>
      <c r="H129" s="9">
        <v>134</v>
      </c>
      <c r="I129" s="9">
        <v>2681</v>
      </c>
      <c r="J129" s="9">
        <v>4.6251398731816487</v>
      </c>
      <c r="K129" s="9">
        <v>2.3241908910460545</v>
      </c>
      <c r="R129" s="12" t="s">
        <v>587</v>
      </c>
      <c r="S129" t="s">
        <v>599</v>
      </c>
      <c r="T129" t="s">
        <v>592</v>
      </c>
      <c r="U129" t="s">
        <v>583</v>
      </c>
      <c r="V129" t="s">
        <v>718</v>
      </c>
      <c r="W129" s="12">
        <v>-1.7064700000000084</v>
      </c>
      <c r="X129" s="12">
        <v>5</v>
      </c>
      <c r="Y129" s="12">
        <v>-18.8</v>
      </c>
      <c r="Z129" s="12">
        <v>0</v>
      </c>
      <c r="AA129" s="12">
        <v>-7</v>
      </c>
      <c r="AB129" s="10">
        <f t="shared" si="1"/>
        <v>2.4080062892943337</v>
      </c>
      <c r="AD129" s="12"/>
      <c r="AE129" s="12"/>
      <c r="AF129" s="12"/>
      <c r="AG129" s="12"/>
      <c r="AH129" s="12"/>
    </row>
    <row r="130" spans="1:34" x14ac:dyDescent="0.25">
      <c r="A130" t="s">
        <v>256</v>
      </c>
      <c r="B130" s="2"/>
      <c r="C130" s="2"/>
      <c r="D130" s="8" t="s">
        <v>741</v>
      </c>
      <c r="E130" t="s">
        <v>257</v>
      </c>
      <c r="F130" s="9">
        <v>47.85</v>
      </c>
      <c r="G130" s="9">
        <v>12400</v>
      </c>
      <c r="H130" s="9">
        <v>109.5</v>
      </c>
      <c r="I130" s="9">
        <v>2808.5</v>
      </c>
      <c r="J130" s="9">
        <v>4.5678320021143968</v>
      </c>
      <c r="K130" s="9">
        <v>2.2953929658866317</v>
      </c>
      <c r="L130" s="9">
        <v>26.375082938258231</v>
      </c>
      <c r="M130" s="9">
        <v>141.42135623730951</v>
      </c>
      <c r="N130" s="9">
        <v>12.020815280171307</v>
      </c>
      <c r="O130" s="9">
        <v>741.75501346468832</v>
      </c>
      <c r="P130" s="9">
        <v>1.1560587260087258</v>
      </c>
      <c r="Q130" s="9">
        <v>0.58093403317021397</v>
      </c>
      <c r="R130" s="12" t="s">
        <v>587</v>
      </c>
      <c r="S130" t="s">
        <v>591</v>
      </c>
      <c r="T130" t="s">
        <v>592</v>
      </c>
      <c r="U130" t="s">
        <v>583</v>
      </c>
      <c r="V130" t="s">
        <v>719</v>
      </c>
      <c r="W130" s="12">
        <v>-2.441070000000007</v>
      </c>
      <c r="X130" s="12">
        <v>5</v>
      </c>
      <c r="Y130" s="12">
        <v>-21.5</v>
      </c>
      <c r="Z130" s="12">
        <v>-0.5</v>
      </c>
      <c r="AA130" s="12">
        <v>-9</v>
      </c>
      <c r="AB130" s="10">
        <f t="shared" si="1"/>
        <v>3.6598764617762956</v>
      </c>
      <c r="AD130" s="12"/>
      <c r="AE130" s="12"/>
      <c r="AF130" s="12"/>
      <c r="AG130" s="12"/>
      <c r="AH130" s="12"/>
    </row>
    <row r="131" spans="1:34" x14ac:dyDescent="0.25">
      <c r="A131" t="s">
        <v>258</v>
      </c>
      <c r="B131" s="2"/>
      <c r="C131" s="2"/>
      <c r="D131" s="8" t="s">
        <v>741</v>
      </c>
      <c r="E131" t="s">
        <v>259</v>
      </c>
      <c r="F131" s="9">
        <v>45.433333333333337</v>
      </c>
      <c r="G131" s="9">
        <v>12476.333333333334</v>
      </c>
      <c r="H131" s="9">
        <v>119.33333333333333</v>
      </c>
      <c r="I131" s="9">
        <v>2893</v>
      </c>
      <c r="J131" s="9">
        <v>4.483783898557661</v>
      </c>
      <c r="K131" s="9">
        <v>2.253157737968674</v>
      </c>
      <c r="L131" s="9">
        <v>4.0550380187284727</v>
      </c>
      <c r="M131" s="9">
        <v>3194.4765351045144</v>
      </c>
      <c r="N131" s="9">
        <v>14.742229591663946</v>
      </c>
      <c r="O131" s="9">
        <v>1066.4994139707719</v>
      </c>
      <c r="P131" s="9">
        <v>0.77386025379395484</v>
      </c>
      <c r="Q131" s="9">
        <v>0.38887449939394714</v>
      </c>
      <c r="R131" s="12" t="s">
        <v>587</v>
      </c>
      <c r="S131" t="s">
        <v>595</v>
      </c>
      <c r="T131" t="s">
        <v>592</v>
      </c>
      <c r="U131" t="s">
        <v>583</v>
      </c>
      <c r="V131" t="s">
        <v>718</v>
      </c>
      <c r="W131" s="12">
        <v>-1.7064700000000084</v>
      </c>
      <c r="X131" s="12">
        <v>3.4</v>
      </c>
      <c r="Y131" s="12">
        <v>-16.100000000000009</v>
      </c>
      <c r="Z131" s="12">
        <v>0</v>
      </c>
      <c r="AA131" s="12">
        <v>-8.1</v>
      </c>
      <c r="AB131" s="10">
        <f t="shared" ref="AB131:AB194" si="2">1+1/(0.005*EXP(0.6*X131)+6*EXP(0.45*(Z131+AA131-W131))*(1+0.005*EXP(0.6*X131)))</f>
        <v>3.56915689612554</v>
      </c>
      <c r="AD131" s="12"/>
      <c r="AE131" s="12"/>
      <c r="AF131" s="12"/>
      <c r="AG131" s="12"/>
      <c r="AH131" s="12"/>
    </row>
    <row r="132" spans="1:34" x14ac:dyDescent="0.25">
      <c r="A132" t="s">
        <v>260</v>
      </c>
      <c r="B132" s="2"/>
      <c r="C132" s="2"/>
      <c r="D132" s="8" t="s">
        <v>742</v>
      </c>
      <c r="E132" t="s">
        <v>261</v>
      </c>
      <c r="F132" s="9">
        <v>42.06666666666667</v>
      </c>
      <c r="G132" s="9">
        <v>13225</v>
      </c>
      <c r="H132" s="9">
        <v>203</v>
      </c>
      <c r="I132" s="9">
        <v>2978</v>
      </c>
      <c r="J132" s="9">
        <v>4.4440973698723711</v>
      </c>
      <c r="K132" s="9">
        <v>2.2332147587298348</v>
      </c>
      <c r="L132" s="9">
        <v>17.696421483829248</v>
      </c>
      <c r="M132" s="9">
        <v>3265.252670161989</v>
      </c>
      <c r="N132" s="9">
        <v>71.267103210387333</v>
      </c>
      <c r="O132" s="9">
        <v>754.61182073964358</v>
      </c>
      <c r="P132" s="9">
        <v>0.17464797442978458</v>
      </c>
      <c r="Q132" s="9">
        <v>8.7762801220997277E-2</v>
      </c>
      <c r="R132" s="12" t="s">
        <v>587</v>
      </c>
      <c r="S132" t="s">
        <v>595</v>
      </c>
      <c r="T132" t="s">
        <v>592</v>
      </c>
      <c r="U132" t="s">
        <v>583</v>
      </c>
      <c r="V132" t="s">
        <v>707</v>
      </c>
      <c r="W132" s="12">
        <v>1.6358049999999931</v>
      </c>
      <c r="X132" s="12">
        <v>3.4</v>
      </c>
      <c r="Y132" s="12">
        <v>-16.100000000000009</v>
      </c>
      <c r="Z132" s="12">
        <v>-0.99999999999999289</v>
      </c>
      <c r="AA132" s="12">
        <v>-8.1</v>
      </c>
      <c r="AB132" s="10">
        <f t="shared" si="2"/>
        <v>12.343077904447624</v>
      </c>
      <c r="AD132" s="12"/>
      <c r="AE132" s="12"/>
      <c r="AF132" s="12"/>
      <c r="AG132" s="12"/>
      <c r="AH132" s="12"/>
    </row>
    <row r="133" spans="1:34" x14ac:dyDescent="0.25">
      <c r="A133" t="s">
        <v>262</v>
      </c>
      <c r="B133" s="2"/>
      <c r="C133" s="2"/>
      <c r="D133" s="8" t="s">
        <v>741</v>
      </c>
      <c r="E133" t="s">
        <v>263</v>
      </c>
      <c r="F133" s="9">
        <v>45.833333333333336</v>
      </c>
      <c r="G133" s="9">
        <v>13766.666666666666</v>
      </c>
      <c r="H133" s="9">
        <v>180.66666666666666</v>
      </c>
      <c r="I133" s="9">
        <v>3203.3333333333335</v>
      </c>
      <c r="J133" s="9">
        <v>4.3519081732929159</v>
      </c>
      <c r="K133" s="9">
        <v>2.1868885292929225</v>
      </c>
      <c r="L133" s="9">
        <v>15.064638506560094</v>
      </c>
      <c r="M133" s="9">
        <v>3189.5663237081799</v>
      </c>
      <c r="N133" s="9">
        <v>25.324559884296821</v>
      </c>
      <c r="O133" s="9">
        <v>879.09574753455263</v>
      </c>
      <c r="P133" s="9">
        <v>0.43734942717530312</v>
      </c>
      <c r="Q133" s="9">
        <v>0.21977358149512718</v>
      </c>
      <c r="R133" s="12" t="s">
        <v>587</v>
      </c>
      <c r="S133" t="s">
        <v>601</v>
      </c>
      <c r="T133" t="s">
        <v>592</v>
      </c>
      <c r="U133" t="s">
        <v>583</v>
      </c>
      <c r="V133" t="s">
        <v>718</v>
      </c>
      <c r="W133" s="12">
        <v>-1.7064700000000084</v>
      </c>
      <c r="X133" s="12">
        <v>5</v>
      </c>
      <c r="Y133" s="12">
        <v>-16.800000000000004</v>
      </c>
      <c r="Z133" s="12">
        <v>0</v>
      </c>
      <c r="AA133" s="12">
        <v>-7</v>
      </c>
      <c r="AB133" s="10">
        <f t="shared" si="2"/>
        <v>2.4080062892943337</v>
      </c>
      <c r="AD133" s="12"/>
      <c r="AE133" s="12"/>
      <c r="AF133" s="12"/>
      <c r="AG133" s="12"/>
      <c r="AH133" s="12"/>
    </row>
    <row r="134" spans="1:34" x14ac:dyDescent="0.25">
      <c r="A134" t="s">
        <v>264</v>
      </c>
      <c r="B134" s="2"/>
      <c r="C134" s="2"/>
      <c r="D134" s="8" t="s">
        <v>741</v>
      </c>
      <c r="E134" t="s">
        <v>265</v>
      </c>
      <c r="F134" s="9">
        <v>50.599999999999994</v>
      </c>
      <c r="G134" s="9">
        <v>18050</v>
      </c>
      <c r="H134" s="9">
        <v>1048.5</v>
      </c>
      <c r="I134" s="9">
        <v>4521.5</v>
      </c>
      <c r="J134" s="9">
        <v>4.2473249173171848</v>
      </c>
      <c r="K134" s="9">
        <v>2.1343341293051181</v>
      </c>
      <c r="L134" s="9">
        <v>32.5269119345812</v>
      </c>
      <c r="M134" s="9">
        <v>6010.4076400856538</v>
      </c>
      <c r="N134" s="9">
        <v>6.3639610306789276</v>
      </c>
      <c r="O134" s="9">
        <v>2427.4975798134178</v>
      </c>
      <c r="P134" s="9">
        <v>0.95100371942564244</v>
      </c>
      <c r="Q134" s="9">
        <v>0.47789131629429266</v>
      </c>
      <c r="R134" s="12" t="s">
        <v>587</v>
      </c>
      <c r="S134" t="s">
        <v>609</v>
      </c>
      <c r="T134" t="s">
        <v>586</v>
      </c>
      <c r="U134" t="s">
        <v>583</v>
      </c>
      <c r="V134" t="s">
        <v>723</v>
      </c>
      <c r="W134" s="12">
        <v>-2.220554999999993</v>
      </c>
      <c r="X134" s="12">
        <v>3.4</v>
      </c>
      <c r="Y134" s="12">
        <v>-6</v>
      </c>
      <c r="Z134" s="12">
        <v>0</v>
      </c>
      <c r="AA134" s="12">
        <v>-7</v>
      </c>
      <c r="AB134" s="10">
        <f t="shared" si="2"/>
        <v>2.3094340588400009</v>
      </c>
      <c r="AD134" s="12"/>
      <c r="AE134" s="12"/>
      <c r="AF134" s="12"/>
      <c r="AG134" s="12"/>
      <c r="AH134" s="12"/>
    </row>
    <row r="135" spans="1:34" x14ac:dyDescent="0.25">
      <c r="A135" t="s">
        <v>266</v>
      </c>
      <c r="B135" s="2"/>
      <c r="C135" s="2"/>
      <c r="D135" s="8" t="s">
        <v>741</v>
      </c>
      <c r="E135" t="s">
        <v>267</v>
      </c>
      <c r="F135" s="9">
        <v>52.233333333333327</v>
      </c>
      <c r="G135" s="9">
        <v>14048</v>
      </c>
      <c r="H135" s="9">
        <v>272</v>
      </c>
      <c r="I135" s="9">
        <v>3819</v>
      </c>
      <c r="J135" s="9">
        <v>4.2445324908894824</v>
      </c>
      <c r="K135" s="9">
        <v>2.1329308999444634</v>
      </c>
      <c r="L135" s="9">
        <v>13.980065172316694</v>
      </c>
      <c r="M135" s="9">
        <v>3216.8423440800866</v>
      </c>
      <c r="N135" s="9">
        <v>78.79509290981683</v>
      </c>
      <c r="O135" s="9">
        <v>1970.3980985239166</v>
      </c>
      <c r="P135" s="9">
        <v>1.0975814182850685</v>
      </c>
      <c r="Q135" s="9">
        <v>0.5515484513995319</v>
      </c>
      <c r="R135" s="12" t="s">
        <v>587</v>
      </c>
      <c r="S135" t="s">
        <v>616</v>
      </c>
      <c r="T135" t="s">
        <v>617</v>
      </c>
      <c r="U135" t="s">
        <v>618</v>
      </c>
      <c r="V135" t="s">
        <v>711</v>
      </c>
      <c r="W135" s="12">
        <v>-0.63561500000000526</v>
      </c>
      <c r="X135" s="12">
        <v>5.3</v>
      </c>
      <c r="Y135" s="12">
        <v>-19.099999999999998</v>
      </c>
      <c r="Z135" s="12">
        <v>-0.50000000000000355</v>
      </c>
      <c r="AA135" s="12">
        <v>-9.1</v>
      </c>
      <c r="AB135" s="10">
        <f t="shared" si="2"/>
        <v>5.1801046708751848</v>
      </c>
      <c r="AD135" s="12"/>
      <c r="AE135" s="12"/>
      <c r="AF135" s="12"/>
      <c r="AG135" s="12"/>
      <c r="AH135" s="12"/>
    </row>
    <row r="136" spans="1:34" x14ac:dyDescent="0.25">
      <c r="A136" t="s">
        <v>268</v>
      </c>
      <c r="B136" s="2"/>
      <c r="C136" s="2"/>
      <c r="D136" s="8" t="s">
        <v>741</v>
      </c>
      <c r="E136" t="s">
        <v>269</v>
      </c>
      <c r="F136" s="9">
        <v>55.25</v>
      </c>
      <c r="G136" s="9">
        <v>11336.5</v>
      </c>
      <c r="H136" s="9">
        <v>259</v>
      </c>
      <c r="I136" s="9">
        <v>6250</v>
      </c>
      <c r="J136" s="9">
        <v>4.2290049441069435</v>
      </c>
      <c r="K136" s="9">
        <v>2.1251281126165544</v>
      </c>
      <c r="L136" s="9">
        <v>14.050000000000006</v>
      </c>
      <c r="M136" s="9">
        <v>6563.5</v>
      </c>
      <c r="N136" s="9">
        <v>109</v>
      </c>
      <c r="O136" s="9">
        <v>5550</v>
      </c>
      <c r="P136" s="9">
        <v>2.7120557915645707</v>
      </c>
      <c r="Q136" s="9">
        <v>1.3628421063138547</v>
      </c>
      <c r="R136" s="12" t="s">
        <v>573</v>
      </c>
      <c r="S136" t="s">
        <v>687</v>
      </c>
      <c r="T136" t="s">
        <v>688</v>
      </c>
      <c r="U136" t="s">
        <v>572</v>
      </c>
      <c r="V136" t="s">
        <v>699</v>
      </c>
      <c r="W136" s="12">
        <v>0.56494999999999707</v>
      </c>
      <c r="X136" s="12">
        <v>4.5</v>
      </c>
      <c r="Y136" s="12">
        <v>-9</v>
      </c>
      <c r="Z136" s="12">
        <v>-2.9000000000000004</v>
      </c>
      <c r="AA136" s="12">
        <v>-8</v>
      </c>
      <c r="AB136" s="10">
        <f t="shared" si="2"/>
        <v>9.9733976320684228</v>
      </c>
      <c r="AD136" s="12"/>
      <c r="AE136" s="12"/>
      <c r="AF136" s="12"/>
      <c r="AG136" s="12"/>
      <c r="AH136" s="12"/>
    </row>
    <row r="137" spans="1:34" x14ac:dyDescent="0.25">
      <c r="A137" t="s">
        <v>270</v>
      </c>
      <c r="B137" s="2"/>
      <c r="C137" s="2"/>
      <c r="D137" s="8" t="s">
        <v>741</v>
      </c>
      <c r="E137" t="s">
        <v>271</v>
      </c>
      <c r="F137" s="9">
        <v>46</v>
      </c>
      <c r="G137" s="9">
        <v>16500.25</v>
      </c>
      <c r="H137" s="9">
        <v>246.75</v>
      </c>
      <c r="I137" s="9">
        <v>5513.25</v>
      </c>
      <c r="J137" s="9">
        <v>4.2274323154290983</v>
      </c>
      <c r="K137" s="9">
        <v>2.1243378469492957</v>
      </c>
      <c r="L137" s="9">
        <v>12.729296916954992</v>
      </c>
      <c r="M137" s="9">
        <v>5589.8703193812999</v>
      </c>
      <c r="N137" s="9">
        <v>62.078075840025839</v>
      </c>
      <c r="O137" s="9">
        <v>4248.2733772086749</v>
      </c>
      <c r="P137" s="9">
        <v>1.859243741853323</v>
      </c>
      <c r="Q137" s="9">
        <v>0.93429333761473521</v>
      </c>
      <c r="R137" s="12" t="s">
        <v>587</v>
      </c>
      <c r="S137" t="s">
        <v>619</v>
      </c>
      <c r="T137" t="s">
        <v>579</v>
      </c>
      <c r="U137" t="s">
        <v>607</v>
      </c>
      <c r="V137" t="s">
        <v>711</v>
      </c>
      <c r="W137" s="12">
        <v>-0.63561500000000526</v>
      </c>
      <c r="X137" s="12">
        <v>4.5999999999999996</v>
      </c>
      <c r="Y137" s="12">
        <v>-13.1</v>
      </c>
      <c r="Z137" s="12">
        <v>-0.5</v>
      </c>
      <c r="AA137" s="12">
        <v>-10</v>
      </c>
      <c r="AB137" s="10">
        <f t="shared" si="2"/>
        <v>7.4331636245699704</v>
      </c>
      <c r="AD137" s="12"/>
      <c r="AE137" s="12"/>
      <c r="AF137" s="12"/>
      <c r="AG137" s="12"/>
      <c r="AH137" s="12"/>
    </row>
    <row r="138" spans="1:34" x14ac:dyDescent="0.25">
      <c r="A138" t="s">
        <v>272</v>
      </c>
      <c r="B138" s="2"/>
      <c r="C138" s="2"/>
      <c r="D138" s="8" t="s">
        <v>741</v>
      </c>
      <c r="E138" t="s">
        <v>273</v>
      </c>
      <c r="F138" s="9">
        <v>47.7</v>
      </c>
      <c r="G138" s="9">
        <v>14550</v>
      </c>
      <c r="H138" s="9">
        <v>207.75</v>
      </c>
      <c r="I138" s="9">
        <v>4614.5</v>
      </c>
      <c r="J138" s="9">
        <v>4.215307307345495</v>
      </c>
      <c r="K138" s="9">
        <v>2.1182448780630629</v>
      </c>
      <c r="L138" s="9">
        <v>14.11293732714773</v>
      </c>
      <c r="M138" s="9">
        <v>5698.4647055149862</v>
      </c>
      <c r="N138" s="9">
        <v>41.918820355539587</v>
      </c>
      <c r="O138" s="9">
        <v>3581.2689441034722</v>
      </c>
      <c r="P138" s="9">
        <v>1.7423872250077399</v>
      </c>
      <c r="Q138" s="9">
        <v>0.87557146985313561</v>
      </c>
      <c r="R138" s="12" t="s">
        <v>587</v>
      </c>
      <c r="S138" t="s">
        <v>620</v>
      </c>
      <c r="T138" t="s">
        <v>621</v>
      </c>
      <c r="U138" t="s">
        <v>572</v>
      </c>
      <c r="V138" t="s">
        <v>711</v>
      </c>
      <c r="W138" s="12">
        <v>-0.63561500000000526</v>
      </c>
      <c r="X138" s="12">
        <v>4.5</v>
      </c>
      <c r="Y138" s="12">
        <v>-13.2</v>
      </c>
      <c r="Z138" s="12">
        <v>-0.5</v>
      </c>
      <c r="AA138" s="12">
        <v>-10</v>
      </c>
      <c r="AB138" s="10">
        <f t="shared" si="2"/>
        <v>7.6437229149018577</v>
      </c>
      <c r="AD138" s="12"/>
      <c r="AE138" s="12"/>
      <c r="AF138" s="12"/>
      <c r="AG138" s="12"/>
      <c r="AH138" s="12"/>
    </row>
    <row r="139" spans="1:34" x14ac:dyDescent="0.25">
      <c r="A139" t="s">
        <v>274</v>
      </c>
      <c r="B139" s="2"/>
      <c r="C139" s="2"/>
      <c r="D139" s="8" t="s">
        <v>741</v>
      </c>
      <c r="E139" t="s">
        <v>275</v>
      </c>
      <c r="F139" s="9">
        <v>48.424999999999997</v>
      </c>
      <c r="G139" s="9">
        <v>17425</v>
      </c>
      <c r="H139" s="9">
        <v>627.75</v>
      </c>
      <c r="I139" s="9">
        <v>5865.75</v>
      </c>
      <c r="J139" s="9">
        <v>4.0699509975374966</v>
      </c>
      <c r="K139" s="9">
        <v>2.0452015063002493</v>
      </c>
      <c r="L139" s="9">
        <v>14.811882898537926</v>
      </c>
      <c r="M139" s="9">
        <v>5401.099425117075</v>
      </c>
      <c r="N139" s="9">
        <v>744.14796075780521</v>
      </c>
      <c r="O139" s="9">
        <v>4002.1524443104363</v>
      </c>
      <c r="P139" s="9">
        <v>1.9329668717784865</v>
      </c>
      <c r="Q139" s="9">
        <v>0.97134013657210372</v>
      </c>
      <c r="R139" s="12" t="s">
        <v>652</v>
      </c>
      <c r="S139" t="s">
        <v>659</v>
      </c>
      <c r="T139" t="s">
        <v>579</v>
      </c>
      <c r="U139" t="s">
        <v>607</v>
      </c>
      <c r="V139" t="s">
        <v>712</v>
      </c>
      <c r="W139" s="12">
        <v>0.25460499999999592</v>
      </c>
      <c r="X139" s="12">
        <v>4.5999999999999996</v>
      </c>
      <c r="Y139" s="12">
        <v>-15.6</v>
      </c>
      <c r="Z139" s="12">
        <v>-1.5999999999999996</v>
      </c>
      <c r="AA139" s="12">
        <v>-10</v>
      </c>
      <c r="AB139" s="10">
        <f t="shared" si="2"/>
        <v>10.073040109810947</v>
      </c>
      <c r="AD139" s="12"/>
      <c r="AE139" s="12"/>
      <c r="AF139" s="12"/>
      <c r="AG139" s="12"/>
      <c r="AH139" s="12"/>
    </row>
    <row r="140" spans="1:34" x14ac:dyDescent="0.25">
      <c r="A140" t="s">
        <v>276</v>
      </c>
      <c r="B140" s="2"/>
      <c r="C140" s="2"/>
      <c r="D140" s="8" t="s">
        <v>741</v>
      </c>
      <c r="E140" t="s">
        <v>277</v>
      </c>
      <c r="F140" s="9">
        <v>62.174999999999997</v>
      </c>
      <c r="G140" s="9">
        <v>16650</v>
      </c>
      <c r="H140" s="9">
        <v>229.25</v>
      </c>
      <c r="I140" s="9">
        <v>5123.25</v>
      </c>
      <c r="J140" s="9">
        <v>4.0054948151155374</v>
      </c>
      <c r="K140" s="9">
        <v>2.0128114648821795</v>
      </c>
      <c r="L140" s="9">
        <v>15.180147397176379</v>
      </c>
      <c r="M140" s="9">
        <v>4735.2402262187288</v>
      </c>
      <c r="N140" s="9">
        <v>63.009423898334447</v>
      </c>
      <c r="O140" s="9">
        <v>2830.1732610389777</v>
      </c>
      <c r="P140" s="9">
        <v>1.6486562810789533</v>
      </c>
      <c r="Q140" s="9">
        <v>0.82847049300449915</v>
      </c>
      <c r="R140" s="12" t="s">
        <v>674</v>
      </c>
      <c r="S140" t="s">
        <v>676</v>
      </c>
      <c r="T140" t="s">
        <v>586</v>
      </c>
      <c r="U140" t="s">
        <v>607</v>
      </c>
      <c r="V140" t="s">
        <v>717</v>
      </c>
      <c r="W140" s="12">
        <v>-1.2493300000000018</v>
      </c>
      <c r="X140" s="12">
        <v>4.5999999999999996</v>
      </c>
      <c r="Y140" s="12">
        <v>-7.9</v>
      </c>
      <c r="Z140" s="12">
        <v>-7.2999999999999989</v>
      </c>
      <c r="AA140" s="12">
        <v>-9.1999999999999993</v>
      </c>
      <c r="AB140" s="10">
        <f t="shared" si="2"/>
        <v>12.658968478262999</v>
      </c>
      <c r="AD140" s="12"/>
      <c r="AE140" s="12"/>
      <c r="AF140" s="12"/>
      <c r="AG140" s="12"/>
      <c r="AH140" s="12"/>
    </row>
    <row r="141" spans="1:34" x14ac:dyDescent="0.25">
      <c r="A141" t="s">
        <v>278</v>
      </c>
      <c r="B141" s="2"/>
      <c r="C141" s="2"/>
      <c r="D141" s="8" t="s">
        <v>742</v>
      </c>
      <c r="E141" t="s">
        <v>279</v>
      </c>
      <c r="F141" s="9">
        <v>51.325000000000003</v>
      </c>
      <c r="G141" s="9">
        <v>19275</v>
      </c>
      <c r="H141" s="9">
        <v>187.5</v>
      </c>
      <c r="I141" s="9">
        <v>6029.5</v>
      </c>
      <c r="J141" s="9">
        <v>3.9842478700773434</v>
      </c>
      <c r="K141" s="9">
        <v>2.002134608079067</v>
      </c>
      <c r="L141" s="9">
        <v>9.5745430700373131</v>
      </c>
      <c r="M141" s="9">
        <v>5866.5897248742394</v>
      </c>
      <c r="N141" s="9">
        <v>18.186533479473212</v>
      </c>
      <c r="O141" s="9">
        <v>4101.8599744506146</v>
      </c>
      <c r="P141" s="9">
        <v>1.3113935489209259</v>
      </c>
      <c r="Q141" s="9">
        <v>0.65899173312609338</v>
      </c>
      <c r="R141" s="12" t="s">
        <v>587</v>
      </c>
      <c r="S141" t="s">
        <v>622</v>
      </c>
      <c r="T141" t="s">
        <v>605</v>
      </c>
      <c r="U141" t="s">
        <v>589</v>
      </c>
      <c r="V141" t="s">
        <v>707</v>
      </c>
      <c r="W141" s="12">
        <v>1.6358049999999931</v>
      </c>
      <c r="X141" s="12">
        <v>3.5</v>
      </c>
      <c r="Y141" s="12">
        <v>-18.299999999999997</v>
      </c>
      <c r="Z141" s="12">
        <v>-1.2000000000000028</v>
      </c>
      <c r="AA141" s="12">
        <v>-9.1</v>
      </c>
      <c r="AB141" s="10">
        <f t="shared" si="2"/>
        <v>15.313621618497853</v>
      </c>
      <c r="AD141" s="12"/>
      <c r="AE141" s="12"/>
      <c r="AF141" s="12"/>
      <c r="AG141" s="12"/>
      <c r="AH141" s="12"/>
    </row>
    <row r="142" spans="1:34" x14ac:dyDescent="0.25">
      <c r="A142" t="s">
        <v>280</v>
      </c>
      <c r="B142" s="2"/>
      <c r="C142" s="2"/>
      <c r="D142" s="8" t="s">
        <v>742</v>
      </c>
      <c r="E142" t="s">
        <v>281</v>
      </c>
      <c r="F142" s="9">
        <v>49.800000000000004</v>
      </c>
      <c r="G142" s="9">
        <v>13866.666666666666</v>
      </c>
      <c r="H142" s="9">
        <v>193</v>
      </c>
      <c r="I142" s="9">
        <v>3539.3333333333335</v>
      </c>
      <c r="J142" s="9">
        <v>3.9603461250016685</v>
      </c>
      <c r="K142" s="9">
        <v>1.9901236809053611</v>
      </c>
      <c r="L142" s="9">
        <v>28.939246707542353</v>
      </c>
      <c r="M142" s="9">
        <v>4282.9117821096097</v>
      </c>
      <c r="N142" s="9">
        <v>64.467045845144796</v>
      </c>
      <c r="O142" s="9">
        <v>1270.3126911643967</v>
      </c>
      <c r="P142" s="9">
        <v>0.18043166878667707</v>
      </c>
      <c r="Q142" s="9">
        <v>9.0669180294812607E-2</v>
      </c>
      <c r="R142" s="12" t="s">
        <v>587</v>
      </c>
      <c r="S142" t="s">
        <v>594</v>
      </c>
      <c r="T142" t="s">
        <v>592</v>
      </c>
      <c r="U142" t="s">
        <v>583</v>
      </c>
      <c r="V142" t="s">
        <v>707</v>
      </c>
      <c r="W142" s="12">
        <v>1.6358049999999931</v>
      </c>
      <c r="X142" s="12">
        <v>0.8</v>
      </c>
      <c r="Y142" s="12">
        <v>-22.5</v>
      </c>
      <c r="Z142" s="12">
        <v>-1</v>
      </c>
      <c r="AA142" s="12">
        <v>-8.1</v>
      </c>
      <c r="AB142" s="10">
        <f t="shared" si="2"/>
        <v>18.75158271070902</v>
      </c>
      <c r="AD142" s="12"/>
      <c r="AE142" s="12"/>
      <c r="AF142" s="12"/>
      <c r="AG142" s="12"/>
      <c r="AH142" s="12"/>
    </row>
    <row r="143" spans="1:34" x14ac:dyDescent="0.25">
      <c r="A143" t="s">
        <v>282</v>
      </c>
      <c r="B143" s="2"/>
      <c r="C143" s="2"/>
      <c r="D143" s="8" t="s">
        <v>741</v>
      </c>
      <c r="E143" t="s">
        <v>283</v>
      </c>
      <c r="F143" s="9">
        <v>33.35</v>
      </c>
      <c r="G143" s="9">
        <v>9164.5</v>
      </c>
      <c r="H143" s="9">
        <v>116</v>
      </c>
      <c r="I143" s="9">
        <v>2493.5</v>
      </c>
      <c r="J143" s="9">
        <v>3.9348308703439852</v>
      </c>
      <c r="K143" s="9">
        <v>1.977301944896475</v>
      </c>
      <c r="L143" s="9">
        <v>6.5760930650348834</v>
      </c>
      <c r="M143" s="9">
        <v>2171.5249250238876</v>
      </c>
      <c r="N143" s="9">
        <v>4.2426406871192848</v>
      </c>
      <c r="O143" s="9">
        <v>1222.5876246715407</v>
      </c>
      <c r="P143" s="9">
        <v>1.0584121123858905</v>
      </c>
      <c r="Q143" s="9">
        <v>0.53186538310848774</v>
      </c>
      <c r="R143" s="12" t="s">
        <v>587</v>
      </c>
      <c r="S143" t="s">
        <v>610</v>
      </c>
      <c r="T143" t="s">
        <v>579</v>
      </c>
      <c r="U143" t="s">
        <v>583</v>
      </c>
      <c r="V143" t="s">
        <v>718</v>
      </c>
      <c r="W143" s="12">
        <v>-1.7064700000000084</v>
      </c>
      <c r="X143" s="12">
        <v>5</v>
      </c>
      <c r="Y143" s="12">
        <v>-9.2000000000000011</v>
      </c>
      <c r="Z143" s="12">
        <v>0</v>
      </c>
      <c r="AA143" s="12">
        <v>-7</v>
      </c>
      <c r="AB143" s="10">
        <f t="shared" si="2"/>
        <v>2.4080062892943337</v>
      </c>
      <c r="AD143" s="12"/>
      <c r="AE143" s="12"/>
      <c r="AF143" s="12"/>
      <c r="AG143" s="12"/>
      <c r="AH143" s="12"/>
    </row>
    <row r="144" spans="1:34" x14ac:dyDescent="0.25">
      <c r="A144" t="s">
        <v>284</v>
      </c>
      <c r="B144" s="2"/>
      <c r="C144" s="2"/>
      <c r="D144" s="8" t="s">
        <v>741</v>
      </c>
      <c r="E144" t="s">
        <v>285</v>
      </c>
      <c r="F144" s="9">
        <v>56.25</v>
      </c>
      <c r="G144" s="9">
        <v>13000</v>
      </c>
      <c r="H144" s="9">
        <v>118.5</v>
      </c>
      <c r="I144" s="9">
        <v>3511</v>
      </c>
      <c r="J144" s="9">
        <v>3.9209202504919416</v>
      </c>
      <c r="K144" s="9">
        <v>1.9703116836642922</v>
      </c>
      <c r="L144" s="9">
        <v>1.7677669529663689</v>
      </c>
      <c r="M144" s="9">
        <v>4101.219330881976</v>
      </c>
      <c r="N144" s="9">
        <v>7.7781745930520225</v>
      </c>
      <c r="O144" s="9">
        <v>1805.9507191504424</v>
      </c>
      <c r="P144" s="9">
        <v>0.84869536178452953</v>
      </c>
      <c r="Q144" s="9">
        <v>0.42648008129875858</v>
      </c>
      <c r="R144" s="12" t="s">
        <v>587</v>
      </c>
      <c r="S144" t="s">
        <v>593</v>
      </c>
      <c r="T144" t="s">
        <v>579</v>
      </c>
      <c r="U144" t="s">
        <v>583</v>
      </c>
      <c r="V144" t="s">
        <v>719</v>
      </c>
      <c r="W144" s="12">
        <v>-2.441070000000007</v>
      </c>
      <c r="X144" s="12">
        <v>3.4</v>
      </c>
      <c r="Y144" s="12">
        <v>-14.299999999999999</v>
      </c>
      <c r="Z144" s="12">
        <v>-0.50000000000000178</v>
      </c>
      <c r="AA144" s="12">
        <v>-9</v>
      </c>
      <c r="AB144" s="10">
        <f t="shared" si="2"/>
        <v>4.3504742955668307</v>
      </c>
      <c r="AD144" s="12"/>
      <c r="AE144" s="12"/>
      <c r="AF144" s="12"/>
      <c r="AG144" s="12"/>
      <c r="AH144" s="12"/>
    </row>
    <row r="145" spans="1:34" x14ac:dyDescent="0.25">
      <c r="A145" t="s">
        <v>286</v>
      </c>
      <c r="B145" s="2"/>
      <c r="C145" s="2"/>
      <c r="D145" s="8" t="s">
        <v>741</v>
      </c>
      <c r="E145" t="s">
        <v>287</v>
      </c>
      <c r="F145" s="9">
        <v>45.699999999999996</v>
      </c>
      <c r="G145" s="9">
        <v>11883</v>
      </c>
      <c r="H145" s="9">
        <v>167.33333333333334</v>
      </c>
      <c r="I145" s="9">
        <v>3104</v>
      </c>
      <c r="J145" s="9">
        <v>3.9176526429609431</v>
      </c>
      <c r="K145" s="9">
        <v>1.9686696698296196</v>
      </c>
      <c r="L145" s="9">
        <v>7.7871689335727057</v>
      </c>
      <c r="M145" s="9">
        <v>2644.5920290282961</v>
      </c>
      <c r="N145" s="9">
        <v>16.072751268321593</v>
      </c>
      <c r="O145" s="9">
        <v>965.7970801364022</v>
      </c>
      <c r="P145" s="9">
        <v>0.43176391662124114</v>
      </c>
      <c r="Q145" s="9">
        <v>0.21696679227198049</v>
      </c>
      <c r="R145" s="12" t="s">
        <v>645</v>
      </c>
      <c r="S145" t="s">
        <v>647</v>
      </c>
      <c r="T145" t="s">
        <v>579</v>
      </c>
      <c r="U145" t="s">
        <v>583</v>
      </c>
      <c r="V145" t="s">
        <v>720</v>
      </c>
      <c r="W145" s="12">
        <v>-2.0228349999999917</v>
      </c>
      <c r="X145" s="12">
        <v>5</v>
      </c>
      <c r="Y145" s="12">
        <v>-9.7999999999999989</v>
      </c>
      <c r="Z145" s="12">
        <v>-7.0000000000000018</v>
      </c>
      <c r="AA145" s="12">
        <v>-5.9</v>
      </c>
      <c r="AB145" s="10">
        <f t="shared" si="2"/>
        <v>7.6731477378224691</v>
      </c>
      <c r="AD145" s="12"/>
      <c r="AE145" s="12"/>
      <c r="AF145" s="12"/>
      <c r="AG145" s="12"/>
      <c r="AH145" s="12"/>
    </row>
    <row r="146" spans="1:34" x14ac:dyDescent="0.25">
      <c r="A146" t="s">
        <v>288</v>
      </c>
      <c r="B146" s="2"/>
      <c r="C146" s="2"/>
      <c r="D146" s="8" t="s">
        <v>741</v>
      </c>
      <c r="E146" t="s">
        <v>289</v>
      </c>
      <c r="F146" s="9">
        <v>49.533333333333339</v>
      </c>
      <c r="G146" s="9">
        <v>16864</v>
      </c>
      <c r="H146" s="9">
        <v>235.66666666666666</v>
      </c>
      <c r="I146" s="9">
        <v>6736.666666666667</v>
      </c>
      <c r="J146" s="9">
        <v>3.7706322237700611</v>
      </c>
      <c r="K146" s="9">
        <v>1.8947900621960105</v>
      </c>
      <c r="L146" s="9">
        <v>17.09275350030595</v>
      </c>
      <c r="M146" s="9">
        <v>6208.8049306341281</v>
      </c>
      <c r="N146" s="9">
        <v>35.649528592800337</v>
      </c>
      <c r="O146" s="9">
        <v>5281.2913404036162</v>
      </c>
      <c r="P146" s="9">
        <v>1.7044824366506679</v>
      </c>
      <c r="Q146" s="9">
        <v>0.8565238375128984</v>
      </c>
      <c r="R146" s="12" t="s">
        <v>587</v>
      </c>
      <c r="S146" t="s">
        <v>623</v>
      </c>
      <c r="T146" t="s">
        <v>579</v>
      </c>
      <c r="U146" t="s">
        <v>607</v>
      </c>
      <c r="V146" t="s">
        <v>711</v>
      </c>
      <c r="W146" s="12">
        <v>-0.63561500000000526</v>
      </c>
      <c r="X146" s="12">
        <v>5.5</v>
      </c>
      <c r="Y146" s="12">
        <v>-14.2</v>
      </c>
      <c r="Z146" s="12">
        <v>-0.30000000000000071</v>
      </c>
      <c r="AA146" s="12">
        <v>-8.8000000000000007</v>
      </c>
      <c r="AB146" s="10">
        <f t="shared" si="2"/>
        <v>4.4889138170616825</v>
      </c>
      <c r="AD146" s="12"/>
      <c r="AE146" s="12"/>
      <c r="AF146" s="12"/>
      <c r="AG146" s="12"/>
      <c r="AH146" s="12"/>
    </row>
    <row r="147" spans="1:34" x14ac:dyDescent="0.25">
      <c r="A147" t="s">
        <v>290</v>
      </c>
      <c r="B147" s="2"/>
      <c r="C147" s="2"/>
      <c r="D147" s="8" t="s">
        <v>741</v>
      </c>
      <c r="E147" t="s">
        <v>291</v>
      </c>
      <c r="F147" s="9">
        <v>44.533333333333331</v>
      </c>
      <c r="G147" s="9">
        <v>14217</v>
      </c>
      <c r="H147" s="9">
        <v>218</v>
      </c>
      <c r="I147" s="9">
        <v>5447.666666666667</v>
      </c>
      <c r="J147" s="9">
        <v>3.7473300770020814</v>
      </c>
      <c r="K147" s="9">
        <v>1.8830804407045636</v>
      </c>
      <c r="L147" s="9">
        <v>11.105954358911369</v>
      </c>
      <c r="M147" s="9">
        <v>8079.899628089448</v>
      </c>
      <c r="N147" s="9">
        <v>18.055470085267789</v>
      </c>
      <c r="O147" s="9">
        <v>4132.5908204041798</v>
      </c>
      <c r="P147" s="9">
        <v>1.8011199706193755</v>
      </c>
      <c r="Q147" s="9">
        <v>0.90508541237154549</v>
      </c>
      <c r="R147" s="12" t="s">
        <v>652</v>
      </c>
      <c r="S147" t="s">
        <v>659</v>
      </c>
      <c r="T147" t="s">
        <v>579</v>
      </c>
      <c r="U147" t="s">
        <v>607</v>
      </c>
      <c r="V147" t="s">
        <v>722</v>
      </c>
      <c r="W147" s="12">
        <v>-2.0168150000000025</v>
      </c>
      <c r="X147" s="12">
        <v>4.5999999999999996</v>
      </c>
      <c r="Y147" s="12">
        <v>-15.6</v>
      </c>
      <c r="Z147" s="12">
        <v>-1.5999999999999996</v>
      </c>
      <c r="AA147" s="12">
        <v>-10</v>
      </c>
      <c r="AB147" s="10">
        <f t="shared" si="2"/>
        <v>7.0329425658283</v>
      </c>
      <c r="AD147" s="12"/>
      <c r="AE147" s="12"/>
      <c r="AF147" s="12"/>
      <c r="AG147" s="12"/>
      <c r="AH147" s="12"/>
    </row>
    <row r="148" spans="1:34" x14ac:dyDescent="0.25">
      <c r="A148" t="s">
        <v>292</v>
      </c>
      <c r="B148" s="2"/>
      <c r="C148" s="2"/>
      <c r="D148" s="8" t="s">
        <v>741</v>
      </c>
      <c r="E148" t="s">
        <v>293</v>
      </c>
      <c r="F148" s="9">
        <v>56.199999999999996</v>
      </c>
      <c r="G148" s="9">
        <v>15315.25</v>
      </c>
      <c r="H148" s="9">
        <v>248.5</v>
      </c>
      <c r="I148" s="9">
        <v>5564.75</v>
      </c>
      <c r="J148" s="9">
        <v>3.6935377261751263</v>
      </c>
      <c r="K148" s="9">
        <v>1.8560491086307167</v>
      </c>
      <c r="L148" s="9">
        <v>15.618578680533018</v>
      </c>
      <c r="M148" s="9">
        <v>6243.4043347760198</v>
      </c>
      <c r="N148" s="9">
        <v>50.648297108589936</v>
      </c>
      <c r="O148" s="9">
        <v>3375.5671653071872</v>
      </c>
      <c r="P148" s="9">
        <v>1.7584414839953877</v>
      </c>
      <c r="Q148" s="9">
        <v>0.88363893668109939</v>
      </c>
      <c r="R148" s="12" t="s">
        <v>587</v>
      </c>
      <c r="S148" t="s">
        <v>624</v>
      </c>
      <c r="T148" t="s">
        <v>621</v>
      </c>
      <c r="U148" t="s">
        <v>572</v>
      </c>
      <c r="V148" t="s">
        <v>711</v>
      </c>
      <c r="W148" s="12">
        <v>-0.63561500000000526</v>
      </c>
      <c r="X148" s="12">
        <v>5.6</v>
      </c>
      <c r="Y148" s="12">
        <v>-14.1</v>
      </c>
      <c r="Z148" s="12">
        <v>-0.30000000000000071</v>
      </c>
      <c r="AA148" s="12">
        <v>-8.8000000000000007</v>
      </c>
      <c r="AB148" s="10">
        <f t="shared" si="2"/>
        <v>4.3770088958313753</v>
      </c>
      <c r="AD148" s="12"/>
      <c r="AE148" s="12"/>
      <c r="AF148" s="12"/>
      <c r="AG148" s="12"/>
      <c r="AH148" s="12"/>
    </row>
    <row r="149" spans="1:34" x14ac:dyDescent="0.25">
      <c r="A149" t="s">
        <v>294</v>
      </c>
      <c r="B149" s="2"/>
      <c r="C149" s="2"/>
      <c r="D149" s="8" t="s">
        <v>741</v>
      </c>
      <c r="E149" t="s">
        <v>295</v>
      </c>
      <c r="F149" s="9">
        <v>46.466666666666669</v>
      </c>
      <c r="G149" s="9">
        <v>15733.333333333334</v>
      </c>
      <c r="H149" s="9">
        <v>250.33333333333334</v>
      </c>
      <c r="I149" s="9">
        <v>4692</v>
      </c>
      <c r="J149" s="9">
        <v>3.662373014035365</v>
      </c>
      <c r="K149" s="9">
        <v>1.8403884492640026</v>
      </c>
      <c r="L149" s="9">
        <v>12.772452996803523</v>
      </c>
      <c r="M149" s="9">
        <v>4149.1632355880574</v>
      </c>
      <c r="N149" s="9">
        <v>69.748755464803011</v>
      </c>
      <c r="O149" s="9">
        <v>2238.6515286365288</v>
      </c>
      <c r="P149" s="9">
        <v>0.65317398709388108</v>
      </c>
      <c r="Q149" s="9">
        <v>0.32822813421803071</v>
      </c>
      <c r="R149" s="12" t="s">
        <v>587</v>
      </c>
      <c r="S149" t="s">
        <v>625</v>
      </c>
      <c r="T149" t="s">
        <v>617</v>
      </c>
      <c r="U149" t="s">
        <v>618</v>
      </c>
      <c r="V149" t="s">
        <v>711</v>
      </c>
      <c r="W149" s="12">
        <v>-0.63561500000000526</v>
      </c>
      <c r="X149" s="12">
        <v>5.3</v>
      </c>
      <c r="Y149" s="12">
        <v>-17.099999999999998</v>
      </c>
      <c r="Z149" s="12">
        <v>-0.50000000000000355</v>
      </c>
      <c r="AA149" s="12">
        <v>-9.1</v>
      </c>
      <c r="AB149" s="10">
        <f t="shared" si="2"/>
        <v>5.1801046708751848</v>
      </c>
      <c r="AD149" s="12"/>
      <c r="AE149" s="12"/>
      <c r="AF149" s="12"/>
      <c r="AG149" s="12"/>
      <c r="AH149" s="12"/>
    </row>
    <row r="150" spans="1:34" x14ac:dyDescent="0.25">
      <c r="A150" t="s">
        <v>296</v>
      </c>
      <c r="B150" s="2"/>
      <c r="C150" s="2"/>
      <c r="D150" s="8" t="s">
        <v>741</v>
      </c>
      <c r="E150" t="s">
        <v>297</v>
      </c>
      <c r="F150" s="9">
        <v>48.466666666666669</v>
      </c>
      <c r="G150" s="9">
        <v>12866.666666666666</v>
      </c>
      <c r="H150" s="9">
        <v>121.33333333333333</v>
      </c>
      <c r="I150" s="9">
        <v>3648.3333333333335</v>
      </c>
      <c r="J150" s="9">
        <v>3.5436708487313573</v>
      </c>
      <c r="K150" s="9">
        <v>1.7807391199655063</v>
      </c>
      <c r="L150" s="9">
        <v>6.1199128534100362</v>
      </c>
      <c r="M150" s="9">
        <v>2713.546265191243</v>
      </c>
      <c r="N150" s="9">
        <v>12.055427546683417</v>
      </c>
      <c r="O150" s="9">
        <v>875.25672424342565</v>
      </c>
      <c r="P150" s="9">
        <v>0.1601067656293246</v>
      </c>
      <c r="Q150" s="9">
        <v>8.0455661120263616E-2</v>
      </c>
      <c r="R150" s="12" t="s">
        <v>587</v>
      </c>
      <c r="S150" t="s">
        <v>626</v>
      </c>
      <c r="T150" t="s">
        <v>592</v>
      </c>
      <c r="U150" t="s">
        <v>583</v>
      </c>
      <c r="V150" t="s">
        <v>716</v>
      </c>
      <c r="W150" s="12">
        <v>-2.0168150000000025</v>
      </c>
      <c r="X150" s="12">
        <v>5</v>
      </c>
      <c r="Y150" s="12">
        <v>-20.5</v>
      </c>
      <c r="Z150" s="12">
        <v>0</v>
      </c>
      <c r="AA150" s="12">
        <v>-5.9</v>
      </c>
      <c r="AB150" s="10">
        <f t="shared" si="2"/>
        <v>1.7995328249560232</v>
      </c>
      <c r="AD150" s="12"/>
      <c r="AE150" s="12"/>
      <c r="AF150" s="12"/>
      <c r="AG150" s="12"/>
      <c r="AH150" s="12"/>
    </row>
    <row r="151" spans="1:34" x14ac:dyDescent="0.25">
      <c r="A151" t="s">
        <v>298</v>
      </c>
      <c r="B151" s="2"/>
      <c r="C151" s="2"/>
      <c r="D151" s="8" t="s">
        <v>742</v>
      </c>
      <c r="E151" t="s">
        <v>299</v>
      </c>
      <c r="F151" s="9">
        <v>50</v>
      </c>
      <c r="G151" s="9">
        <v>17415.5</v>
      </c>
      <c r="H151" s="9">
        <v>257.75</v>
      </c>
      <c r="I151" s="9">
        <v>7008.75</v>
      </c>
      <c r="J151" s="9">
        <v>3.4918001661298845</v>
      </c>
      <c r="K151" s="9">
        <v>1.7546734503165249</v>
      </c>
      <c r="L151" s="9">
        <v>9.1161943814291284</v>
      </c>
      <c r="M151" s="9">
        <v>7036.5773462671468</v>
      </c>
      <c r="N151" s="9">
        <v>67.44025133405124</v>
      </c>
      <c r="O151" s="9">
        <v>4862.9974488477783</v>
      </c>
      <c r="P151" s="9">
        <v>1.6963057617333284</v>
      </c>
      <c r="Q151" s="9">
        <v>0.85241495564488867</v>
      </c>
      <c r="R151" s="12" t="s">
        <v>587</v>
      </c>
      <c r="S151" t="s">
        <v>627</v>
      </c>
      <c r="T151" t="s">
        <v>628</v>
      </c>
      <c r="U151" t="s">
        <v>589</v>
      </c>
      <c r="V151" t="s">
        <v>707</v>
      </c>
      <c r="W151" s="12">
        <v>1.6358049999999931</v>
      </c>
      <c r="X151" s="12">
        <v>5.3</v>
      </c>
      <c r="Y151" s="12">
        <v>-19.5</v>
      </c>
      <c r="Z151" s="12">
        <v>-1</v>
      </c>
      <c r="AA151" s="12">
        <v>-6.8000000000000007</v>
      </c>
      <c r="AB151" s="10">
        <f t="shared" si="2"/>
        <v>5.6193026475322343</v>
      </c>
      <c r="AD151" s="12"/>
      <c r="AE151" s="12"/>
      <c r="AF151" s="12"/>
      <c r="AG151" s="12"/>
      <c r="AH151" s="12"/>
    </row>
    <row r="152" spans="1:34" x14ac:dyDescent="0.25">
      <c r="A152" t="s">
        <v>300</v>
      </c>
      <c r="B152" s="2"/>
      <c r="C152" s="2"/>
      <c r="D152" s="8" t="s">
        <v>741</v>
      </c>
      <c r="E152" t="s">
        <v>301</v>
      </c>
      <c r="F152" s="9">
        <v>26.6</v>
      </c>
      <c r="G152" s="9">
        <v>12300</v>
      </c>
      <c r="H152" s="9">
        <v>147</v>
      </c>
      <c r="I152" s="9">
        <v>3529</v>
      </c>
      <c r="J152" s="9">
        <v>3.48540663077359</v>
      </c>
      <c r="K152" s="9">
        <v>1.751460618479191</v>
      </c>
      <c r="R152" s="12" t="s">
        <v>645</v>
      </c>
      <c r="S152" t="s">
        <v>649</v>
      </c>
      <c r="T152" t="s">
        <v>586</v>
      </c>
      <c r="U152" t="s">
        <v>583</v>
      </c>
      <c r="V152" t="s">
        <v>720</v>
      </c>
      <c r="W152" s="12">
        <v>-2.0228349999999917</v>
      </c>
      <c r="X152" s="12">
        <v>3.4</v>
      </c>
      <c r="Y152" s="12">
        <v>-4.5999999999999996</v>
      </c>
      <c r="Z152" s="12">
        <v>-7</v>
      </c>
      <c r="AA152" s="12">
        <v>-5.9</v>
      </c>
      <c r="AB152" s="10">
        <f t="shared" si="2"/>
        <v>12.751428703067759</v>
      </c>
      <c r="AD152" s="12"/>
      <c r="AE152" s="12"/>
      <c r="AF152" s="12"/>
      <c r="AG152" s="12"/>
      <c r="AH152" s="12"/>
    </row>
    <row r="153" spans="1:34" x14ac:dyDescent="0.25">
      <c r="A153" t="s">
        <v>302</v>
      </c>
      <c r="B153" s="2"/>
      <c r="C153" s="2"/>
      <c r="D153" s="8" t="s">
        <v>741</v>
      </c>
      <c r="E153" t="s">
        <v>303</v>
      </c>
      <c r="F153" s="9">
        <v>29.2</v>
      </c>
      <c r="G153" s="9">
        <v>8557.6666666666661</v>
      </c>
      <c r="H153" s="9">
        <v>108.39999999999999</v>
      </c>
      <c r="I153" s="9">
        <v>2544.6666666666665</v>
      </c>
      <c r="J153" s="9">
        <v>3.4636208030198392</v>
      </c>
      <c r="K153" s="9">
        <v>1.7405129663416277</v>
      </c>
      <c r="L153" s="9">
        <v>7.1840100222647489</v>
      </c>
      <c r="M153" s="9">
        <v>1755.7945020227532</v>
      </c>
      <c r="N153" s="9">
        <v>36.79904890075283</v>
      </c>
      <c r="O153" s="9">
        <v>866.45850064116394</v>
      </c>
      <c r="P153" s="9">
        <v>0.49227902225792752</v>
      </c>
      <c r="Q153" s="9">
        <v>0.24737639309443593</v>
      </c>
      <c r="R153" s="12" t="s">
        <v>587</v>
      </c>
      <c r="S153" t="s">
        <v>609</v>
      </c>
      <c r="T153" t="s">
        <v>586</v>
      </c>
      <c r="U153" t="s">
        <v>583</v>
      </c>
      <c r="V153" t="s">
        <v>718</v>
      </c>
      <c r="W153" s="12">
        <v>-1.7064700000000084</v>
      </c>
      <c r="X153" s="12">
        <v>3.4</v>
      </c>
      <c r="Y153" s="12">
        <v>-6</v>
      </c>
      <c r="Z153" s="12">
        <v>0</v>
      </c>
      <c r="AA153" s="12">
        <v>-7</v>
      </c>
      <c r="AB153" s="10">
        <f t="shared" si="2"/>
        <v>2.6289124658712959</v>
      </c>
      <c r="AD153" s="12"/>
      <c r="AE153" s="12"/>
      <c r="AF153" s="12"/>
      <c r="AG153" s="12"/>
      <c r="AH153" s="12"/>
    </row>
    <row r="154" spans="1:34" x14ac:dyDescent="0.25">
      <c r="A154" t="s">
        <v>304</v>
      </c>
      <c r="B154" s="2"/>
      <c r="C154" s="2"/>
      <c r="D154" s="8" t="s">
        <v>742</v>
      </c>
      <c r="E154" t="s">
        <v>305</v>
      </c>
      <c r="F154" s="9">
        <v>40.5</v>
      </c>
      <c r="G154" s="9">
        <v>11762.666666666666</v>
      </c>
      <c r="H154" s="9">
        <v>170.33333333333334</v>
      </c>
      <c r="I154" s="9">
        <v>3463.6666666666665</v>
      </c>
      <c r="J154" s="9">
        <v>3.4522489667167733</v>
      </c>
      <c r="K154" s="9">
        <v>1.734798475737072</v>
      </c>
      <c r="L154" s="9">
        <v>10.379306335203738</v>
      </c>
      <c r="M154" s="9">
        <v>2962.1244628363174</v>
      </c>
      <c r="N154" s="9">
        <v>52.624455658309053</v>
      </c>
      <c r="O154" s="9">
        <v>1084.8918532892262</v>
      </c>
      <c r="P154" s="9">
        <v>0.33216512785226526</v>
      </c>
      <c r="Q154" s="9">
        <v>0.16691714967450516</v>
      </c>
      <c r="R154" s="12" t="s">
        <v>587</v>
      </c>
      <c r="S154" t="s">
        <v>599</v>
      </c>
      <c r="T154" t="s">
        <v>592</v>
      </c>
      <c r="U154" t="s">
        <v>583</v>
      </c>
      <c r="V154" t="s">
        <v>707</v>
      </c>
      <c r="W154" s="12">
        <v>1.6358049999999931</v>
      </c>
      <c r="X154" s="12">
        <v>5</v>
      </c>
      <c r="Y154" s="12">
        <v>-18.8</v>
      </c>
      <c r="Z154" s="12">
        <v>-1.1999999999999993</v>
      </c>
      <c r="AA154" s="12">
        <v>-7</v>
      </c>
      <c r="AB154" s="10">
        <f t="shared" si="2"/>
        <v>6.5741260619773154</v>
      </c>
      <c r="AD154" s="12"/>
      <c r="AE154" s="12"/>
      <c r="AF154" s="12"/>
      <c r="AG154" s="12"/>
      <c r="AH154" s="12"/>
    </row>
    <row r="155" spans="1:34" x14ac:dyDescent="0.25">
      <c r="A155" t="s">
        <v>306</v>
      </c>
      <c r="B155" s="2"/>
      <c r="C155" s="2"/>
      <c r="D155" s="8" t="s">
        <v>741</v>
      </c>
      <c r="E155" t="s">
        <v>307</v>
      </c>
      <c r="F155" s="9">
        <v>58.933333333333337</v>
      </c>
      <c r="G155" s="9">
        <v>12933.333333333334</v>
      </c>
      <c r="H155" s="9">
        <v>125.33333333333333</v>
      </c>
      <c r="I155" s="9">
        <v>3738.6666666666665</v>
      </c>
      <c r="J155" s="9">
        <v>3.4480461915862648</v>
      </c>
      <c r="K155" s="9">
        <v>1.732686528435309</v>
      </c>
      <c r="L155" s="9">
        <v>4.3085186936269997</v>
      </c>
      <c r="M155" s="9">
        <v>2343.786110832928</v>
      </c>
      <c r="N155" s="9">
        <v>18.823743871327302</v>
      </c>
      <c r="O155" s="9">
        <v>530.30211515072438</v>
      </c>
      <c r="P155" s="9">
        <v>0.16479794801751715</v>
      </c>
      <c r="Q155" s="9">
        <v>8.2813039204782488E-2</v>
      </c>
      <c r="R155" s="12" t="s">
        <v>587</v>
      </c>
      <c r="S155" t="s">
        <v>591</v>
      </c>
      <c r="T155" t="s">
        <v>592</v>
      </c>
      <c r="U155" t="s">
        <v>583</v>
      </c>
      <c r="V155" t="s">
        <v>716</v>
      </c>
      <c r="W155" s="12">
        <v>-2.0168150000000025</v>
      </c>
      <c r="X155" s="12">
        <v>5</v>
      </c>
      <c r="Y155" s="12">
        <v>-21.5</v>
      </c>
      <c r="Z155" s="12">
        <v>0</v>
      </c>
      <c r="AA155" s="12">
        <v>-9</v>
      </c>
      <c r="AB155" s="10">
        <f t="shared" si="2"/>
        <v>3.5939617494504925</v>
      </c>
      <c r="AD155" s="12"/>
      <c r="AE155" s="12"/>
      <c r="AF155" s="12"/>
      <c r="AG155" s="12"/>
      <c r="AH155" s="12"/>
    </row>
    <row r="156" spans="1:34" x14ac:dyDescent="0.25">
      <c r="A156" t="s">
        <v>308</v>
      </c>
      <c r="B156" s="2"/>
      <c r="C156" s="2"/>
      <c r="D156" s="8" t="s">
        <v>741</v>
      </c>
      <c r="E156" t="s">
        <v>309</v>
      </c>
      <c r="F156" s="9">
        <v>58.9</v>
      </c>
      <c r="G156" s="9">
        <v>12033.333333333334</v>
      </c>
      <c r="H156" s="9">
        <v>113.33333333333333</v>
      </c>
      <c r="I156" s="9">
        <v>3550.3333333333335</v>
      </c>
      <c r="J156" s="9">
        <v>3.4431778960879984</v>
      </c>
      <c r="K156" s="9">
        <v>1.7302401487879389</v>
      </c>
      <c r="L156" s="9">
        <v>13.329291053915846</v>
      </c>
      <c r="M156" s="9">
        <v>1855.6220879622401</v>
      </c>
      <c r="N156" s="9">
        <v>12.858201014657274</v>
      </c>
      <c r="O156" s="9">
        <v>827.55322084644934</v>
      </c>
      <c r="P156" s="9">
        <v>0.37407537424958048</v>
      </c>
      <c r="Q156" s="9">
        <v>0.18797757499978918</v>
      </c>
      <c r="R156" s="12" t="s">
        <v>587</v>
      </c>
      <c r="S156" t="s">
        <v>595</v>
      </c>
      <c r="T156" t="s">
        <v>592</v>
      </c>
      <c r="U156" t="s">
        <v>583</v>
      </c>
      <c r="V156" t="s">
        <v>719</v>
      </c>
      <c r="W156" s="12">
        <v>-2.441070000000007</v>
      </c>
      <c r="X156" s="12">
        <v>3.4</v>
      </c>
      <c r="Y156" s="12">
        <v>-16.100000000000009</v>
      </c>
      <c r="Z156" s="12">
        <v>-0.29999999999999005</v>
      </c>
      <c r="AA156" s="12">
        <v>-8.1</v>
      </c>
      <c r="AB156" s="10">
        <f t="shared" si="2"/>
        <v>3.1505259049615342</v>
      </c>
      <c r="AD156" s="12"/>
      <c r="AE156" s="12"/>
      <c r="AF156" s="12"/>
      <c r="AG156" s="12"/>
      <c r="AH156" s="12"/>
    </row>
    <row r="157" spans="1:34" x14ac:dyDescent="0.25">
      <c r="A157" t="s">
        <v>310</v>
      </c>
      <c r="B157" s="2"/>
      <c r="C157" s="2"/>
      <c r="D157" s="8" t="s">
        <v>741</v>
      </c>
      <c r="E157" t="s">
        <v>311</v>
      </c>
      <c r="F157" s="9">
        <v>43.074999999999996</v>
      </c>
      <c r="G157" s="9">
        <v>12065</v>
      </c>
      <c r="H157" s="9">
        <v>275</v>
      </c>
      <c r="I157" s="9">
        <v>4280.5</v>
      </c>
      <c r="J157" s="9">
        <v>3.4308210628573388</v>
      </c>
      <c r="K157" s="9">
        <v>1.7240306848529341</v>
      </c>
      <c r="L157" s="9">
        <v>8.9177841978823675</v>
      </c>
      <c r="M157" s="9">
        <v>5203.2377420217881</v>
      </c>
      <c r="N157" s="9">
        <v>55.977674121027931</v>
      </c>
      <c r="O157" s="9">
        <v>2225.3105962988629</v>
      </c>
      <c r="P157" s="9">
        <v>1.3724705193877631</v>
      </c>
      <c r="Q157" s="9">
        <v>0.68968367808430309</v>
      </c>
      <c r="R157" s="12" t="s">
        <v>587</v>
      </c>
      <c r="S157" t="s">
        <v>629</v>
      </c>
      <c r="T157" t="s">
        <v>630</v>
      </c>
      <c r="U157" t="s">
        <v>631</v>
      </c>
      <c r="V157" t="s">
        <v>721</v>
      </c>
      <c r="W157" s="12">
        <v>-3.7230100000000093</v>
      </c>
      <c r="X157" s="12">
        <v>3.2</v>
      </c>
      <c r="Y157" s="12">
        <v>-18.599999999999998</v>
      </c>
      <c r="Z157" s="12">
        <v>0</v>
      </c>
      <c r="AA157" s="12">
        <v>-9.1</v>
      </c>
      <c r="AB157" s="10">
        <f t="shared" si="2"/>
        <v>2.7064088191389315</v>
      </c>
      <c r="AD157" s="12"/>
      <c r="AE157" s="12"/>
      <c r="AF157" s="12"/>
      <c r="AG157" s="12"/>
      <c r="AH157" s="12"/>
    </row>
    <row r="158" spans="1:34" x14ac:dyDescent="0.25">
      <c r="A158" t="s">
        <v>312</v>
      </c>
      <c r="B158" s="2"/>
      <c r="C158" s="2"/>
      <c r="D158" s="8" t="s">
        <v>742</v>
      </c>
      <c r="E158" t="s">
        <v>313</v>
      </c>
      <c r="F158" s="9">
        <v>43.800000000000004</v>
      </c>
      <c r="G158" s="9">
        <v>13766.666666666666</v>
      </c>
      <c r="H158" s="9">
        <v>197</v>
      </c>
      <c r="I158" s="9">
        <v>4158</v>
      </c>
      <c r="J158" s="9">
        <v>3.4144213310079805</v>
      </c>
      <c r="K158" s="9">
        <v>1.7157896135718496</v>
      </c>
      <c r="L158" s="9">
        <v>18.015826375717523</v>
      </c>
      <c r="M158" s="9">
        <v>3842.3083339749446</v>
      </c>
      <c r="N158" s="9">
        <v>56.347138347923227</v>
      </c>
      <c r="O158" s="9">
        <v>1669.4241522153679</v>
      </c>
      <c r="P158" s="9">
        <v>0.50180961622396181</v>
      </c>
      <c r="Q158" s="9">
        <v>0.25216563629344813</v>
      </c>
      <c r="R158" s="12" t="s">
        <v>587</v>
      </c>
      <c r="S158" t="s">
        <v>591</v>
      </c>
      <c r="T158" t="s">
        <v>592</v>
      </c>
      <c r="U158" t="s">
        <v>583</v>
      </c>
      <c r="V158" t="s">
        <v>707</v>
      </c>
      <c r="W158" s="12">
        <v>1.6358049999999931</v>
      </c>
      <c r="X158" s="12">
        <v>5</v>
      </c>
      <c r="Y158" s="12">
        <v>-21.5</v>
      </c>
      <c r="Z158" s="12">
        <v>-1.1999999999999993</v>
      </c>
      <c r="AA158" s="12">
        <v>-9</v>
      </c>
      <c r="AB158" s="10">
        <f t="shared" si="2"/>
        <v>8.545144741829592</v>
      </c>
      <c r="AD158" s="12"/>
      <c r="AE158" s="12"/>
      <c r="AF158" s="12"/>
      <c r="AG158" s="12"/>
      <c r="AH158" s="12"/>
    </row>
    <row r="159" spans="1:34" x14ac:dyDescent="0.25">
      <c r="A159" t="s">
        <v>314</v>
      </c>
      <c r="B159" s="2"/>
      <c r="C159" s="2"/>
      <c r="D159" s="8" t="s">
        <v>741</v>
      </c>
      <c r="E159" t="s">
        <v>315</v>
      </c>
      <c r="F159" s="9">
        <v>34.65</v>
      </c>
      <c r="G159" s="9">
        <v>9637</v>
      </c>
      <c r="H159" s="9">
        <v>132.5</v>
      </c>
      <c r="I159" s="9">
        <v>2912</v>
      </c>
      <c r="J159" s="9">
        <v>3.3794404564697222</v>
      </c>
      <c r="K159" s="9">
        <v>1.6982112846581519</v>
      </c>
      <c r="L159" s="9">
        <v>15.344217151748087</v>
      </c>
      <c r="M159" s="9">
        <v>2210.4157979891474</v>
      </c>
      <c r="N159" s="9">
        <v>3.5355339059327378</v>
      </c>
      <c r="O159" s="9">
        <v>1004.0916292848975</v>
      </c>
      <c r="P159" s="9">
        <v>0.40619920192954428</v>
      </c>
      <c r="Q159" s="9">
        <v>0.20412020197464537</v>
      </c>
      <c r="R159" s="12" t="s">
        <v>645</v>
      </c>
      <c r="S159" t="s">
        <v>648</v>
      </c>
      <c r="T159" t="s">
        <v>586</v>
      </c>
      <c r="U159" t="s">
        <v>583</v>
      </c>
      <c r="V159" t="s">
        <v>720</v>
      </c>
      <c r="W159" s="12">
        <v>-2.0228349999999917</v>
      </c>
      <c r="X159" s="12">
        <v>5</v>
      </c>
      <c r="Y159" s="12">
        <v>-2.2000000000000002</v>
      </c>
      <c r="Z159" s="12">
        <v>-6.9999999999999991</v>
      </c>
      <c r="AA159" s="12">
        <v>-5.9</v>
      </c>
      <c r="AB159" s="10">
        <f t="shared" si="2"/>
        <v>7.6731477378224655</v>
      </c>
      <c r="AD159" s="12"/>
      <c r="AE159" s="12"/>
      <c r="AF159" s="12"/>
      <c r="AG159" s="12"/>
      <c r="AH159" s="12"/>
    </row>
    <row r="160" spans="1:34" x14ac:dyDescent="0.25">
      <c r="A160" t="s">
        <v>316</v>
      </c>
      <c r="B160" s="2"/>
      <c r="C160" s="2"/>
      <c r="D160" s="8" t="s">
        <v>741</v>
      </c>
      <c r="E160" t="s">
        <v>317</v>
      </c>
      <c r="F160" s="9">
        <v>48.924999999999997</v>
      </c>
      <c r="G160" s="9">
        <v>14324</v>
      </c>
      <c r="H160" s="9">
        <v>238.75</v>
      </c>
      <c r="I160" s="9">
        <v>5463.5</v>
      </c>
      <c r="J160" s="9">
        <v>3.3753690265923026</v>
      </c>
      <c r="K160" s="9">
        <v>1.6961653399961321</v>
      </c>
      <c r="L160" s="9">
        <v>14.410651442596198</v>
      </c>
      <c r="M160" s="9">
        <v>5629.9136760699985</v>
      </c>
      <c r="N160" s="9">
        <v>33.063386093986196</v>
      </c>
      <c r="O160" s="9">
        <v>3720.8123776938819</v>
      </c>
      <c r="P160" s="9">
        <v>1.2964894857764528</v>
      </c>
      <c r="Q160" s="9">
        <v>0.65150225415902152</v>
      </c>
      <c r="R160" s="12" t="s">
        <v>587</v>
      </c>
      <c r="S160" t="s">
        <v>632</v>
      </c>
      <c r="T160" t="s">
        <v>633</v>
      </c>
      <c r="U160" t="s">
        <v>631</v>
      </c>
      <c r="V160" t="s">
        <v>721</v>
      </c>
      <c r="W160" s="12">
        <v>-3.7230100000000093</v>
      </c>
      <c r="X160" s="12">
        <v>3.4</v>
      </c>
      <c r="Y160" s="12">
        <v>-14.799999999999999</v>
      </c>
      <c r="Z160" s="12">
        <v>0</v>
      </c>
      <c r="AA160" s="12">
        <v>-9.1</v>
      </c>
      <c r="AB160" s="10">
        <f t="shared" si="2"/>
        <v>2.6872083239916531</v>
      </c>
      <c r="AD160" s="12"/>
      <c r="AE160" s="12"/>
      <c r="AF160" s="12"/>
      <c r="AG160" s="12"/>
      <c r="AH160" s="12"/>
    </row>
    <row r="161" spans="1:34" x14ac:dyDescent="0.25">
      <c r="A161" t="s">
        <v>318</v>
      </c>
      <c r="B161" s="2"/>
      <c r="C161" s="2"/>
      <c r="D161" s="8" t="s">
        <v>742</v>
      </c>
      <c r="E161" t="s">
        <v>319</v>
      </c>
      <c r="F161" s="9">
        <v>38.700000000000003</v>
      </c>
      <c r="G161" s="9">
        <v>11500</v>
      </c>
      <c r="H161" s="9">
        <v>157</v>
      </c>
      <c r="I161" s="9">
        <v>3420</v>
      </c>
      <c r="J161" s="9">
        <v>3.3625730994152048</v>
      </c>
      <c r="K161" s="9">
        <v>1.6897352258367864</v>
      </c>
      <c r="R161" s="12" t="s">
        <v>587</v>
      </c>
      <c r="S161" t="s">
        <v>601</v>
      </c>
      <c r="T161" t="s">
        <v>592</v>
      </c>
      <c r="U161" t="s">
        <v>583</v>
      </c>
      <c r="V161" t="s">
        <v>707</v>
      </c>
      <c r="W161" s="12">
        <v>1.6358049999999931</v>
      </c>
      <c r="X161" s="12">
        <v>5</v>
      </c>
      <c r="Y161" s="12">
        <v>-16.800000000000004</v>
      </c>
      <c r="Z161" s="12">
        <v>-1.1999999999999957</v>
      </c>
      <c r="AA161" s="12">
        <v>-7</v>
      </c>
      <c r="AB161" s="10">
        <f t="shared" si="2"/>
        <v>6.574126061977311</v>
      </c>
      <c r="AD161" s="12"/>
      <c r="AE161" s="12"/>
      <c r="AF161" s="12"/>
      <c r="AG161" s="12"/>
      <c r="AH161" s="12"/>
    </row>
    <row r="162" spans="1:34" x14ac:dyDescent="0.25">
      <c r="A162" t="s">
        <v>320</v>
      </c>
      <c r="B162" s="2"/>
      <c r="C162" s="2"/>
      <c r="D162" s="8" t="s">
        <v>741</v>
      </c>
      <c r="E162" t="s">
        <v>321</v>
      </c>
      <c r="F162" s="9">
        <v>56.333333333333336</v>
      </c>
      <c r="G162" s="9">
        <v>12833.333333333334</v>
      </c>
      <c r="H162" s="9">
        <v>117.66666666666667</v>
      </c>
      <c r="I162" s="9">
        <v>3913</v>
      </c>
      <c r="J162" s="9">
        <v>3.2808917042709234</v>
      </c>
      <c r="K162" s="9">
        <v>1.6486892986286048</v>
      </c>
      <c r="L162" s="9">
        <v>8.0052066390151992</v>
      </c>
      <c r="M162" s="9">
        <v>2193.9310229205803</v>
      </c>
      <c r="N162" s="9">
        <v>8.9628864398325021</v>
      </c>
      <c r="O162" s="9">
        <v>680.53581830789778</v>
      </c>
      <c r="P162" s="9">
        <v>2.0167259597330317E-2</v>
      </c>
      <c r="Q162" s="9">
        <v>1.0134301305191114E-2</v>
      </c>
      <c r="R162" s="12" t="s">
        <v>645</v>
      </c>
      <c r="S162" t="s">
        <v>646</v>
      </c>
      <c r="T162" t="s">
        <v>579</v>
      </c>
      <c r="U162" t="s">
        <v>583</v>
      </c>
      <c r="V162" t="s">
        <v>724</v>
      </c>
      <c r="W162" s="12">
        <v>-3.4040350000000035</v>
      </c>
      <c r="X162" s="12">
        <v>5</v>
      </c>
      <c r="Y162" s="12">
        <v>-11.8</v>
      </c>
      <c r="Z162" s="12">
        <v>-7</v>
      </c>
      <c r="AA162" s="12">
        <v>-5.9</v>
      </c>
      <c r="AB162" s="10">
        <f t="shared" si="2"/>
        <v>6.196159068032018</v>
      </c>
      <c r="AD162" s="12"/>
      <c r="AE162" s="12"/>
      <c r="AF162" s="12"/>
      <c r="AG162" s="12"/>
      <c r="AH162" s="12"/>
    </row>
    <row r="163" spans="1:34" x14ac:dyDescent="0.25">
      <c r="A163" t="s">
        <v>322</v>
      </c>
      <c r="B163" s="2"/>
      <c r="C163" s="2"/>
      <c r="D163" s="8" t="s">
        <v>741</v>
      </c>
      <c r="E163" t="s">
        <v>323</v>
      </c>
      <c r="F163" s="9">
        <v>59.233333333333327</v>
      </c>
      <c r="G163" s="9">
        <v>13866.666666666666</v>
      </c>
      <c r="H163" s="9">
        <v>192.33333333333334</v>
      </c>
      <c r="I163" s="9">
        <v>4234</v>
      </c>
      <c r="J163" s="9">
        <v>3.2615297732744764</v>
      </c>
      <c r="K163" s="9">
        <v>1.638959685062551</v>
      </c>
      <c r="L163" s="9">
        <v>6.2564633247013699</v>
      </c>
      <c r="M163" s="9">
        <v>2977.1350881902072</v>
      </c>
      <c r="N163" s="9">
        <v>12.662279942148386</v>
      </c>
      <c r="O163" s="9">
        <v>741.43914113027506</v>
      </c>
      <c r="P163" s="9">
        <v>0.13183106045958268</v>
      </c>
      <c r="Q163" s="9">
        <v>6.624676405004154E-2</v>
      </c>
      <c r="R163" s="12" t="s">
        <v>645</v>
      </c>
      <c r="S163" t="s">
        <v>647</v>
      </c>
      <c r="T163" t="s">
        <v>579</v>
      </c>
      <c r="U163" t="s">
        <v>583</v>
      </c>
      <c r="V163" t="s">
        <v>724</v>
      </c>
      <c r="W163" s="12">
        <v>-3.4040350000000035</v>
      </c>
      <c r="X163" s="12">
        <v>5</v>
      </c>
      <c r="Y163" s="12">
        <v>-9.7999999999999989</v>
      </c>
      <c r="Z163" s="12">
        <v>-7.0000000000000018</v>
      </c>
      <c r="AA163" s="12">
        <v>-5.9</v>
      </c>
      <c r="AB163" s="10">
        <f t="shared" si="2"/>
        <v>6.1961590680320198</v>
      </c>
      <c r="AD163" s="12"/>
      <c r="AE163" s="12"/>
      <c r="AF163" s="12"/>
      <c r="AG163" s="12"/>
      <c r="AH163" s="12"/>
    </row>
    <row r="164" spans="1:34" x14ac:dyDescent="0.25">
      <c r="A164" t="s">
        <v>324</v>
      </c>
      <c r="B164" s="2"/>
      <c r="C164" s="2"/>
      <c r="D164" s="8" t="s">
        <v>741</v>
      </c>
      <c r="E164" t="s">
        <v>325</v>
      </c>
      <c r="F164" s="9">
        <v>74.775000000000006</v>
      </c>
      <c r="G164" s="9">
        <v>15568</v>
      </c>
      <c r="H164" s="9">
        <v>154.69999999999999</v>
      </c>
      <c r="I164" s="9">
        <v>6936.75</v>
      </c>
      <c r="J164" s="9">
        <v>3.174000386215849</v>
      </c>
      <c r="K164" s="9">
        <v>1.5949750684501753</v>
      </c>
      <c r="L164" s="9">
        <v>11.704780006475945</v>
      </c>
      <c r="M164" s="9">
        <v>6938.4776428262703</v>
      </c>
      <c r="N164" s="9">
        <v>63.488345387165381</v>
      </c>
      <c r="O164" s="9">
        <v>4855.0200501645713</v>
      </c>
      <c r="P164" s="9">
        <v>1.4660482605214391</v>
      </c>
      <c r="Q164" s="9">
        <v>0.73670766860373826</v>
      </c>
      <c r="R164" s="12" t="s">
        <v>660</v>
      </c>
      <c r="S164" t="s">
        <v>661</v>
      </c>
      <c r="T164" t="s">
        <v>574</v>
      </c>
      <c r="U164" t="s">
        <v>607</v>
      </c>
      <c r="V164" t="s">
        <v>725</v>
      </c>
      <c r="W164" s="12">
        <v>-2.9070350000000036</v>
      </c>
      <c r="X164" s="12">
        <v>4.5999999999999996</v>
      </c>
      <c r="Y164" s="12">
        <v>-11.200000000000001</v>
      </c>
      <c r="Z164" s="12">
        <v>-2.3999999999999986</v>
      </c>
      <c r="AA164" s="12">
        <v>-10</v>
      </c>
      <c r="AB164" s="10">
        <f t="shared" si="2"/>
        <v>6.9048841541022652</v>
      </c>
      <c r="AD164" s="12"/>
      <c r="AE164" s="12"/>
      <c r="AF164" s="12"/>
      <c r="AG164" s="12"/>
      <c r="AH164" s="12"/>
    </row>
    <row r="165" spans="1:34" x14ac:dyDescent="0.25">
      <c r="A165" t="s">
        <v>326</v>
      </c>
      <c r="B165" s="2"/>
      <c r="C165" s="2"/>
      <c r="D165" s="8" t="s">
        <v>741</v>
      </c>
      <c r="E165" t="s">
        <v>327</v>
      </c>
      <c r="F165" s="9">
        <v>52.550000000000004</v>
      </c>
      <c r="G165" s="9">
        <v>17154.5</v>
      </c>
      <c r="H165" s="9">
        <v>330</v>
      </c>
      <c r="I165" s="9">
        <v>7128.75</v>
      </c>
      <c r="J165" s="9">
        <v>3.1354359786815671</v>
      </c>
      <c r="K165" s="9">
        <v>1.5755959691867172</v>
      </c>
      <c r="L165" s="9">
        <v>12.302540388066159</v>
      </c>
      <c r="M165" s="9">
        <v>9005.9042161239977</v>
      </c>
      <c r="N165" s="9">
        <v>104.80935072788114</v>
      </c>
      <c r="O165" s="9">
        <v>5273.3794370877577</v>
      </c>
      <c r="P165" s="9">
        <v>1.1870314304086302</v>
      </c>
      <c r="Q165" s="9">
        <v>0.59649820623549255</v>
      </c>
      <c r="R165" s="12" t="s">
        <v>587</v>
      </c>
      <c r="S165" t="s">
        <v>634</v>
      </c>
      <c r="T165" t="s">
        <v>605</v>
      </c>
      <c r="U165" t="s">
        <v>607</v>
      </c>
      <c r="V165" t="s">
        <v>711</v>
      </c>
      <c r="W165" s="12">
        <v>-0.63561500000000526</v>
      </c>
      <c r="X165" s="12">
        <v>4.5</v>
      </c>
      <c r="Y165" s="12">
        <v>-19.299999999999997</v>
      </c>
      <c r="Z165" s="12">
        <v>-0.50000000000000355</v>
      </c>
      <c r="AA165" s="12">
        <v>-9.1</v>
      </c>
      <c r="AB165" s="10">
        <f t="shared" si="2"/>
        <v>6.3043474580460055</v>
      </c>
      <c r="AD165" s="12"/>
      <c r="AE165" s="12"/>
      <c r="AF165" s="12"/>
      <c r="AG165" s="12"/>
      <c r="AH165" s="12"/>
    </row>
    <row r="166" spans="1:34" x14ac:dyDescent="0.25">
      <c r="A166" t="s">
        <v>328</v>
      </c>
      <c r="B166" s="2"/>
      <c r="C166" s="2"/>
      <c r="D166" s="8" t="s">
        <v>741</v>
      </c>
      <c r="E166" t="s">
        <v>329</v>
      </c>
      <c r="F166" s="9">
        <v>58.4</v>
      </c>
      <c r="G166" s="9">
        <v>12666.666666666666</v>
      </c>
      <c r="H166" s="9">
        <v>115</v>
      </c>
      <c r="I166" s="9">
        <v>4135.666666666667</v>
      </c>
      <c r="J166" s="9">
        <v>3.0890378638621034</v>
      </c>
      <c r="K166" s="9">
        <v>1.5522803335990469</v>
      </c>
      <c r="L166" s="9">
        <v>12.201229446248472</v>
      </c>
      <c r="M166" s="9">
        <v>665.8328118479393</v>
      </c>
      <c r="N166" s="9">
        <v>5.2915026221291814</v>
      </c>
      <c r="O166" s="9">
        <v>535.59530742280788</v>
      </c>
      <c r="P166" s="9">
        <v>0.34074642248558207</v>
      </c>
      <c r="Q166" s="9">
        <v>0.1712293580329558</v>
      </c>
      <c r="R166" s="12" t="s">
        <v>587</v>
      </c>
      <c r="S166" t="s">
        <v>595</v>
      </c>
      <c r="T166" t="s">
        <v>592</v>
      </c>
      <c r="U166" t="s">
        <v>583</v>
      </c>
      <c r="V166" t="s">
        <v>716</v>
      </c>
      <c r="W166" s="12">
        <v>-2.0168150000000025</v>
      </c>
      <c r="X166" s="12">
        <v>3.4</v>
      </c>
      <c r="Y166" s="12">
        <v>-16.100000000000009</v>
      </c>
      <c r="Z166" s="12">
        <v>0</v>
      </c>
      <c r="AA166" s="12">
        <v>-8.1</v>
      </c>
      <c r="AB166" s="10">
        <f t="shared" si="2"/>
        <v>3.2634334768984159</v>
      </c>
      <c r="AD166" s="12"/>
      <c r="AE166" s="12"/>
      <c r="AF166" s="12"/>
      <c r="AG166" s="12"/>
      <c r="AH166" s="12"/>
    </row>
    <row r="167" spans="1:34" x14ac:dyDescent="0.25">
      <c r="A167" t="s">
        <v>330</v>
      </c>
      <c r="B167" s="2"/>
      <c r="C167" s="2"/>
      <c r="D167" s="8" t="s">
        <v>741</v>
      </c>
      <c r="E167" t="s">
        <v>331</v>
      </c>
      <c r="F167" s="9">
        <v>42.55</v>
      </c>
      <c r="G167" s="9">
        <v>10654.5</v>
      </c>
      <c r="H167" s="9">
        <v>127</v>
      </c>
      <c r="I167" s="9">
        <v>3572.5</v>
      </c>
      <c r="J167" s="9">
        <v>2.9809329803191265</v>
      </c>
      <c r="K167" s="9">
        <v>1.4979562715171491</v>
      </c>
      <c r="L167" s="9">
        <v>22.698127676088184</v>
      </c>
      <c r="M167" s="9">
        <v>1337.1389232237614</v>
      </c>
      <c r="N167" s="9">
        <v>5.6568542494923806</v>
      </c>
      <c r="O167" s="9">
        <v>419.31432124362266</v>
      </c>
      <c r="P167" s="9">
        <v>2.4406167644091599E-2</v>
      </c>
      <c r="Q167" s="9">
        <v>1.2264405851302311E-2</v>
      </c>
      <c r="R167" s="12" t="s">
        <v>587</v>
      </c>
      <c r="S167" t="s">
        <v>590</v>
      </c>
      <c r="T167" t="s">
        <v>586</v>
      </c>
      <c r="U167" t="s">
        <v>583</v>
      </c>
      <c r="V167" t="s">
        <v>716</v>
      </c>
      <c r="W167" s="12">
        <v>-2.0168150000000025</v>
      </c>
      <c r="X167" s="12">
        <v>0.8</v>
      </c>
      <c r="Y167" s="12">
        <v>-11.6</v>
      </c>
      <c r="Z167" s="12">
        <v>0</v>
      </c>
      <c r="AA167" s="12">
        <v>-9</v>
      </c>
      <c r="AB167" s="10">
        <f t="shared" si="2"/>
        <v>4.7141671011940964</v>
      </c>
      <c r="AD167" s="12"/>
      <c r="AE167" s="12"/>
      <c r="AF167" s="12"/>
      <c r="AG167" s="12"/>
      <c r="AH167" s="12"/>
    </row>
    <row r="168" spans="1:34" x14ac:dyDescent="0.25">
      <c r="A168" t="s">
        <v>332</v>
      </c>
      <c r="B168" s="2"/>
      <c r="C168" s="2"/>
      <c r="D168" s="8" t="s">
        <v>741</v>
      </c>
      <c r="E168" t="s">
        <v>333</v>
      </c>
      <c r="F168" s="9">
        <v>57.1</v>
      </c>
      <c r="G168" s="9">
        <v>13950</v>
      </c>
      <c r="H168" s="9">
        <v>133.5</v>
      </c>
      <c r="I168" s="9">
        <v>4849.5</v>
      </c>
      <c r="J168" s="9">
        <v>2.9232106684120969</v>
      </c>
      <c r="K168" s="9">
        <v>1.4689500846291945</v>
      </c>
      <c r="L168" s="9">
        <v>2.9698484809835017</v>
      </c>
      <c r="M168" s="9">
        <v>2192.0310216782973</v>
      </c>
      <c r="N168" s="9">
        <v>0.70710678118654757</v>
      </c>
      <c r="O168" s="9">
        <v>1318.7541469129112</v>
      </c>
      <c r="P168" s="9">
        <v>0.34291476844833874</v>
      </c>
      <c r="Q168" s="9">
        <v>0.17231897911976821</v>
      </c>
      <c r="R168" s="12" t="s">
        <v>587</v>
      </c>
      <c r="S168" t="s">
        <v>593</v>
      </c>
      <c r="T168" t="s">
        <v>579</v>
      </c>
      <c r="U168" t="s">
        <v>583</v>
      </c>
      <c r="V168" t="s">
        <v>716</v>
      </c>
      <c r="W168" s="12">
        <v>-2.0168150000000025</v>
      </c>
      <c r="X168" s="12">
        <v>3.4</v>
      </c>
      <c r="Y168" s="12">
        <v>-14.299999999999999</v>
      </c>
      <c r="Z168" s="12">
        <v>0</v>
      </c>
      <c r="AA168" s="12">
        <v>-9</v>
      </c>
      <c r="AB168" s="10">
        <f t="shared" si="2"/>
        <v>4.2522381499656303</v>
      </c>
      <c r="AD168" s="12"/>
      <c r="AE168" s="12"/>
      <c r="AF168" s="12"/>
      <c r="AG168" s="12"/>
      <c r="AH168" s="12"/>
    </row>
    <row r="169" spans="1:34" x14ac:dyDescent="0.25">
      <c r="A169" t="s">
        <v>334</v>
      </c>
      <c r="B169" s="2"/>
      <c r="C169" s="2"/>
      <c r="D169" s="8" t="s">
        <v>742</v>
      </c>
      <c r="E169" t="s">
        <v>335</v>
      </c>
      <c r="F169" s="9">
        <v>25.75</v>
      </c>
      <c r="G169" s="9">
        <v>8098.5</v>
      </c>
      <c r="H169" s="9">
        <v>235.5</v>
      </c>
      <c r="I169" s="9">
        <v>2795.5</v>
      </c>
      <c r="J169" s="9">
        <v>2.8998968353012704</v>
      </c>
      <c r="K169" s="9">
        <v>1.4572345906036535</v>
      </c>
      <c r="L169" s="9">
        <v>0.7778174593052033</v>
      </c>
      <c r="M169" s="9">
        <v>522.55191129685863</v>
      </c>
      <c r="N169" s="9">
        <v>143.54267658086914</v>
      </c>
      <c r="O169" s="9">
        <v>64.346717087975819</v>
      </c>
      <c r="P169" s="9">
        <v>0.25367581918880561</v>
      </c>
      <c r="Q169" s="9">
        <v>0.12747528602452543</v>
      </c>
      <c r="R169" s="12" t="s">
        <v>587</v>
      </c>
      <c r="S169" t="s">
        <v>610</v>
      </c>
      <c r="T169" t="s">
        <v>579</v>
      </c>
      <c r="U169" t="s">
        <v>583</v>
      </c>
      <c r="V169" t="s">
        <v>707</v>
      </c>
      <c r="W169" s="12">
        <v>1.6358049999999931</v>
      </c>
      <c r="X169" s="12">
        <v>5</v>
      </c>
      <c r="Y169" s="12">
        <v>-9.2000000000000011</v>
      </c>
      <c r="Z169" s="12">
        <v>-1.1999999999999993</v>
      </c>
      <c r="AA169" s="12">
        <v>-7</v>
      </c>
      <c r="AB169" s="10">
        <f t="shared" si="2"/>
        <v>6.5741260619773154</v>
      </c>
      <c r="AD169" s="12"/>
      <c r="AE169" s="12"/>
      <c r="AF169" s="12"/>
      <c r="AG169" s="12"/>
      <c r="AH169" s="12"/>
    </row>
    <row r="170" spans="1:34" x14ac:dyDescent="0.25">
      <c r="A170" t="s">
        <v>336</v>
      </c>
      <c r="B170" s="2"/>
      <c r="C170" s="2"/>
      <c r="D170" s="8" t="s">
        <v>741</v>
      </c>
      <c r="E170" t="s">
        <v>337</v>
      </c>
      <c r="F170" s="9">
        <v>48.475000000000001</v>
      </c>
      <c r="G170" s="9">
        <v>15539</v>
      </c>
      <c r="H170" s="9">
        <v>872</v>
      </c>
      <c r="I170" s="9">
        <v>6855.25</v>
      </c>
      <c r="J170" s="9">
        <v>2.807297925785976</v>
      </c>
      <c r="K170" s="9">
        <v>1.4107024752693347</v>
      </c>
      <c r="L170" s="9">
        <v>12.512268978886292</v>
      </c>
      <c r="M170" s="9">
        <v>7150.7596099994862</v>
      </c>
      <c r="N170" s="9">
        <v>1005.9085445506465</v>
      </c>
      <c r="O170" s="9">
        <v>4529.8885402954456</v>
      </c>
      <c r="P170" s="9">
        <v>0.8848503531213423</v>
      </c>
      <c r="Q170" s="9">
        <v>0.44464841865394084</v>
      </c>
      <c r="R170" s="12" t="s">
        <v>652</v>
      </c>
      <c r="S170" t="s">
        <v>659</v>
      </c>
      <c r="T170" t="s">
        <v>579</v>
      </c>
      <c r="U170" t="s">
        <v>607</v>
      </c>
      <c r="V170" t="s">
        <v>713</v>
      </c>
      <c r="W170" s="12">
        <v>-2.9258350000000064</v>
      </c>
      <c r="X170" s="12">
        <v>4.5999999999999996</v>
      </c>
      <c r="Y170" s="12">
        <v>-15.6</v>
      </c>
      <c r="Z170" s="12">
        <v>-1.5999999999999996</v>
      </c>
      <c r="AA170" s="12">
        <v>-10</v>
      </c>
      <c r="AB170" s="10">
        <f t="shared" si="2"/>
        <v>5.7709054806093425</v>
      </c>
      <c r="AD170" s="12"/>
      <c r="AE170" s="12"/>
      <c r="AF170" s="12"/>
      <c r="AG170" s="12"/>
      <c r="AH170" s="12"/>
    </row>
    <row r="171" spans="1:34" x14ac:dyDescent="0.25">
      <c r="A171" t="s">
        <v>338</v>
      </c>
      <c r="B171" s="2"/>
      <c r="C171" s="2"/>
      <c r="D171" s="8" t="s">
        <v>741</v>
      </c>
      <c r="E171" t="s">
        <v>339</v>
      </c>
      <c r="F171" s="9">
        <v>50.074999999999996</v>
      </c>
      <c r="G171" s="9">
        <v>12417.25</v>
      </c>
      <c r="H171" s="9">
        <v>264.5</v>
      </c>
      <c r="I171" s="9">
        <v>5458.5</v>
      </c>
      <c r="J171" s="9">
        <v>2.7680267675935184</v>
      </c>
      <c r="K171" s="9">
        <v>1.390968224921366</v>
      </c>
      <c r="L171" s="9">
        <v>17.34580280644283</v>
      </c>
      <c r="M171" s="9">
        <v>5972.6160673108734</v>
      </c>
      <c r="N171" s="9">
        <v>18.255136263528684</v>
      </c>
      <c r="O171" s="9">
        <v>3697.3972940434737</v>
      </c>
      <c r="P171" s="9">
        <v>0.8319999926376811</v>
      </c>
      <c r="Q171" s="9">
        <v>0.41809044856164879</v>
      </c>
      <c r="R171" s="12" t="s">
        <v>587</v>
      </c>
      <c r="S171" t="s">
        <v>635</v>
      </c>
      <c r="T171" t="s">
        <v>575</v>
      </c>
      <c r="U171" t="s">
        <v>631</v>
      </c>
      <c r="V171" t="s">
        <v>721</v>
      </c>
      <c r="W171" s="12">
        <v>-3.7230100000000093</v>
      </c>
      <c r="X171" s="12">
        <v>4.5</v>
      </c>
      <c r="Y171" s="12">
        <v>-15.2</v>
      </c>
      <c r="Z171" s="12">
        <v>0</v>
      </c>
      <c r="AA171" s="12">
        <v>-8.8000000000000007</v>
      </c>
      <c r="AB171" s="10">
        <f t="shared" si="2"/>
        <v>2.3685380186692888</v>
      </c>
      <c r="AD171" s="12"/>
      <c r="AE171" s="12"/>
      <c r="AF171" s="12"/>
      <c r="AG171" s="12"/>
      <c r="AH171" s="12"/>
    </row>
    <row r="172" spans="1:34" x14ac:dyDescent="0.25">
      <c r="A172" t="s">
        <v>340</v>
      </c>
      <c r="B172" s="2"/>
      <c r="C172" s="2"/>
      <c r="D172" s="8" t="s">
        <v>741</v>
      </c>
      <c r="E172" t="s">
        <v>341</v>
      </c>
      <c r="F172" s="9">
        <v>47.174999999999997</v>
      </c>
      <c r="G172" s="9">
        <v>14251.75</v>
      </c>
      <c r="H172" s="9">
        <v>235.25</v>
      </c>
      <c r="I172" s="9">
        <v>7431</v>
      </c>
      <c r="J172" s="9">
        <v>2.6568656744478636</v>
      </c>
      <c r="K172" s="9">
        <v>1.3351083791195295</v>
      </c>
      <c r="L172" s="9">
        <v>17.553400667676911</v>
      </c>
      <c r="M172" s="9">
        <v>5624.0807415523468</v>
      </c>
      <c r="N172" s="9">
        <v>77.347834488109626</v>
      </c>
      <c r="O172" s="9">
        <v>5412.0377862686801</v>
      </c>
      <c r="P172" s="9">
        <v>1.2188375206644519</v>
      </c>
      <c r="Q172" s="9">
        <v>0.61248116616304116</v>
      </c>
      <c r="R172" s="12" t="s">
        <v>573</v>
      </c>
      <c r="S172" t="s">
        <v>667</v>
      </c>
      <c r="T172" t="s">
        <v>574</v>
      </c>
      <c r="U172" t="s">
        <v>607</v>
      </c>
      <c r="V172" t="s">
        <v>726</v>
      </c>
      <c r="W172" s="12">
        <v>-3.3021449999999968</v>
      </c>
      <c r="X172" s="12">
        <v>4.5999999999999996</v>
      </c>
      <c r="Y172" s="12">
        <v>-8.9</v>
      </c>
      <c r="Z172" s="12">
        <v>-2.9000000000000004</v>
      </c>
      <c r="AA172" s="12">
        <v>-8</v>
      </c>
      <c r="AB172" s="10">
        <f t="shared" si="2"/>
        <v>4.4366164429165336</v>
      </c>
      <c r="AD172" s="12"/>
      <c r="AE172" s="12"/>
      <c r="AF172" s="12"/>
      <c r="AG172" s="12"/>
      <c r="AH172" s="12"/>
    </row>
    <row r="173" spans="1:34" x14ac:dyDescent="0.25">
      <c r="A173" t="s">
        <v>342</v>
      </c>
      <c r="B173" s="2"/>
      <c r="C173" s="2"/>
      <c r="D173" s="8" t="s">
        <v>741</v>
      </c>
      <c r="E173" t="s">
        <v>343</v>
      </c>
      <c r="F173" s="9">
        <v>53.55</v>
      </c>
      <c r="G173" s="9">
        <v>16525</v>
      </c>
      <c r="H173" s="9">
        <v>290.25</v>
      </c>
      <c r="I173" s="9">
        <v>7667</v>
      </c>
      <c r="J173" s="9">
        <v>2.6020230055208851</v>
      </c>
      <c r="K173" s="9">
        <v>1.3075492490054699</v>
      </c>
      <c r="L173" s="9">
        <v>14.758472143145458</v>
      </c>
      <c r="M173" s="9">
        <v>5918.7730992157485</v>
      </c>
      <c r="N173" s="9">
        <v>31.712576369636068</v>
      </c>
      <c r="O173" s="9">
        <v>4329.4010555733921</v>
      </c>
      <c r="P173" s="9">
        <v>1.0520413048766453</v>
      </c>
      <c r="Q173" s="9">
        <v>0.52866397229982176</v>
      </c>
      <c r="R173" s="12" t="s">
        <v>674</v>
      </c>
      <c r="S173" t="s">
        <v>676</v>
      </c>
      <c r="T173" t="s">
        <v>586</v>
      </c>
      <c r="U173" t="s">
        <v>607</v>
      </c>
      <c r="V173" t="s">
        <v>727</v>
      </c>
      <c r="W173" s="12">
        <v>-1.2493300000000018</v>
      </c>
      <c r="X173" s="12">
        <v>4.5999999999999996</v>
      </c>
      <c r="Y173" s="12">
        <v>-7.9</v>
      </c>
      <c r="Z173" s="12">
        <v>-7.2999999999999989</v>
      </c>
      <c r="AA173" s="12">
        <v>-9.1999999999999993</v>
      </c>
      <c r="AB173" s="10">
        <f t="shared" si="2"/>
        <v>12.658968478262999</v>
      </c>
      <c r="AD173" s="12"/>
      <c r="AE173" s="12"/>
      <c r="AF173" s="12"/>
      <c r="AG173" s="12"/>
      <c r="AH173" s="12"/>
    </row>
    <row r="174" spans="1:34" x14ac:dyDescent="0.25">
      <c r="A174" t="s">
        <v>344</v>
      </c>
      <c r="B174" s="2"/>
      <c r="C174" s="2"/>
      <c r="D174" s="8" t="s">
        <v>741</v>
      </c>
      <c r="E174" t="s">
        <v>345</v>
      </c>
      <c r="F174" s="9">
        <v>51.125</v>
      </c>
      <c r="G174" s="9">
        <v>13336.5</v>
      </c>
      <c r="H174" s="9">
        <v>238.75</v>
      </c>
      <c r="I174" s="9">
        <v>6993.75</v>
      </c>
      <c r="J174" s="9">
        <v>2.5874327154224077</v>
      </c>
      <c r="K174" s="9">
        <v>1.3002174449358832</v>
      </c>
      <c r="L174" s="9">
        <v>13.147504516066899</v>
      </c>
      <c r="M174" s="9">
        <v>5889.5582813993788</v>
      </c>
      <c r="N174" s="9">
        <v>63.302349877393965</v>
      </c>
      <c r="O174" s="9">
        <v>5048.2547169789286</v>
      </c>
      <c r="P174" s="9">
        <v>1.1280844877409457</v>
      </c>
      <c r="Q174" s="9">
        <v>0.56687662700550034</v>
      </c>
      <c r="R174" s="12" t="s">
        <v>587</v>
      </c>
      <c r="S174" t="s">
        <v>636</v>
      </c>
      <c r="T174" t="s">
        <v>575</v>
      </c>
      <c r="U174" t="s">
        <v>631</v>
      </c>
      <c r="V174" t="s">
        <v>721</v>
      </c>
      <c r="W174" s="12">
        <v>-3.7230100000000093</v>
      </c>
      <c r="X174" s="12">
        <v>3.4</v>
      </c>
      <c r="Y174" s="12">
        <v>-14.299999999999999</v>
      </c>
      <c r="Z174" s="12">
        <v>0</v>
      </c>
      <c r="AA174" s="12">
        <v>-10</v>
      </c>
      <c r="AB174" s="10">
        <f t="shared" si="2"/>
        <v>3.4502621194769865</v>
      </c>
      <c r="AD174" s="12"/>
      <c r="AE174" s="12"/>
      <c r="AF174" s="12"/>
      <c r="AG174" s="12"/>
      <c r="AH174" s="12"/>
    </row>
    <row r="175" spans="1:34" x14ac:dyDescent="0.25">
      <c r="A175" t="s">
        <v>346</v>
      </c>
      <c r="B175" s="2"/>
      <c r="C175" s="2"/>
      <c r="D175" s="8" t="s">
        <v>741</v>
      </c>
      <c r="E175" t="s">
        <v>347</v>
      </c>
      <c r="F175" s="9">
        <v>56.633333333333333</v>
      </c>
      <c r="G175" s="9">
        <v>12827.333333333334</v>
      </c>
      <c r="H175" s="9">
        <v>1100</v>
      </c>
      <c r="I175" s="9">
        <v>6451.333333333333</v>
      </c>
      <c r="J175" s="9">
        <v>2.5791402933130874</v>
      </c>
      <c r="K175" s="9">
        <v>1.2960503986497927</v>
      </c>
      <c r="L175" s="9">
        <v>19.724998239684464</v>
      </c>
      <c r="M175" s="9">
        <v>4302.0337309489132</v>
      </c>
      <c r="N175" s="9">
        <v>199.70144382719587</v>
      </c>
      <c r="O175" s="9">
        <v>4403.0850800571889</v>
      </c>
      <c r="P175" s="9">
        <v>0.85974014736562721</v>
      </c>
      <c r="Q175" s="9">
        <v>0.43203022480684783</v>
      </c>
      <c r="R175" s="12" t="s">
        <v>652</v>
      </c>
      <c r="S175" t="s">
        <v>657</v>
      </c>
      <c r="T175" t="s">
        <v>621</v>
      </c>
      <c r="U175" t="s">
        <v>572</v>
      </c>
      <c r="V175" t="s">
        <v>728</v>
      </c>
      <c r="W175" s="12">
        <v>-2.9070350000000036</v>
      </c>
      <c r="X175" s="12">
        <v>4.5</v>
      </c>
      <c r="Y175" s="12">
        <v>-15.7</v>
      </c>
      <c r="Z175" s="12">
        <v>-2.4000000000000021</v>
      </c>
      <c r="AA175" s="12">
        <v>-10</v>
      </c>
      <c r="AB175" s="10">
        <f t="shared" si="2"/>
        <v>7.084000338903329</v>
      </c>
      <c r="AD175" s="12"/>
      <c r="AE175" s="12"/>
      <c r="AF175" s="12"/>
      <c r="AG175" s="12"/>
      <c r="AH175" s="12"/>
    </row>
    <row r="176" spans="1:34" x14ac:dyDescent="0.25">
      <c r="A176" t="s">
        <v>348</v>
      </c>
      <c r="B176" s="2"/>
      <c r="C176" s="2"/>
      <c r="D176" s="8" t="s">
        <v>741</v>
      </c>
      <c r="E176" t="s">
        <v>349</v>
      </c>
      <c r="F176" s="9">
        <v>32.950000000000003</v>
      </c>
      <c r="G176" s="9">
        <v>10393</v>
      </c>
      <c r="H176" s="9">
        <v>177</v>
      </c>
      <c r="I176" s="9">
        <v>4113</v>
      </c>
      <c r="J176" s="9">
        <v>2.5693931944315151</v>
      </c>
      <c r="K176" s="9">
        <v>1.2911523590108116</v>
      </c>
      <c r="L176" s="9">
        <v>6.2932503525602748</v>
      </c>
      <c r="M176" s="9">
        <v>1141.2703448350876</v>
      </c>
      <c r="N176" s="9">
        <v>42.426406871192853</v>
      </c>
      <c r="O176" s="9">
        <v>1002.6774157225244</v>
      </c>
      <c r="P176" s="9">
        <v>0.34889428235656322</v>
      </c>
      <c r="Q176" s="9">
        <v>0.17532375997817248</v>
      </c>
      <c r="R176" s="12" t="s">
        <v>660</v>
      </c>
      <c r="S176" t="s">
        <v>662</v>
      </c>
      <c r="T176" t="s">
        <v>663</v>
      </c>
      <c r="U176" t="s">
        <v>583</v>
      </c>
      <c r="V176" t="s">
        <v>729</v>
      </c>
      <c r="W176" s="12">
        <v>-0.63561500000000526</v>
      </c>
      <c r="X176" s="12">
        <v>3.4</v>
      </c>
      <c r="Y176" s="12">
        <v>-3.6</v>
      </c>
      <c r="Z176" s="12">
        <v>-2.4</v>
      </c>
      <c r="AA176" s="12">
        <v>-7</v>
      </c>
      <c r="AB176" s="10">
        <f t="shared" si="2"/>
        <v>7.2834245060174858</v>
      </c>
      <c r="AD176" s="12"/>
      <c r="AE176" s="12"/>
      <c r="AF176" s="12"/>
      <c r="AG176" s="12"/>
      <c r="AH176" s="12"/>
    </row>
    <row r="177" spans="1:34" x14ac:dyDescent="0.25">
      <c r="A177" t="s">
        <v>350</v>
      </c>
      <c r="B177" s="2"/>
      <c r="C177" s="2"/>
      <c r="D177" s="8" t="s">
        <v>741</v>
      </c>
      <c r="E177" t="s">
        <v>351</v>
      </c>
      <c r="F177" s="9">
        <v>44.675000000000004</v>
      </c>
      <c r="G177" s="9">
        <v>15168.75</v>
      </c>
      <c r="H177" s="9">
        <v>241.875</v>
      </c>
      <c r="I177" s="9">
        <v>8193.75</v>
      </c>
      <c r="J177" s="9">
        <v>2.5049514112101332</v>
      </c>
      <c r="K177" s="9">
        <v>1.2587695533719263</v>
      </c>
      <c r="L177" s="9">
        <v>8.8547656660128187</v>
      </c>
      <c r="M177" s="9">
        <v>5302.2970199244783</v>
      </c>
      <c r="N177" s="9">
        <v>132.03226641620603</v>
      </c>
      <c r="O177" s="9">
        <v>5194.1405869980072</v>
      </c>
      <c r="P177" s="9">
        <v>1.2466004754215685</v>
      </c>
      <c r="Q177" s="9">
        <v>0.62643239970933096</v>
      </c>
      <c r="R177" s="12" t="s">
        <v>587</v>
      </c>
      <c r="S177" t="s">
        <v>637</v>
      </c>
      <c r="T177" t="s">
        <v>638</v>
      </c>
      <c r="U177" t="s">
        <v>607</v>
      </c>
      <c r="V177" t="s">
        <v>711</v>
      </c>
      <c r="W177" s="12">
        <v>-0.63561500000000526</v>
      </c>
      <c r="X177" s="12">
        <v>4.5999999999999996</v>
      </c>
      <c r="Y177" s="12">
        <v>-20.5</v>
      </c>
      <c r="Z177" s="12">
        <v>-0.5</v>
      </c>
      <c r="AA177" s="12">
        <v>-7.5</v>
      </c>
      <c r="AB177" s="10">
        <f t="shared" si="2"/>
        <v>4.1799807052995526</v>
      </c>
      <c r="AD177" s="12"/>
      <c r="AE177" s="12"/>
      <c r="AF177" s="12"/>
      <c r="AG177" s="12"/>
      <c r="AH177" s="12"/>
    </row>
    <row r="178" spans="1:34" x14ac:dyDescent="0.25">
      <c r="A178" t="s">
        <v>352</v>
      </c>
      <c r="B178" s="2"/>
      <c r="C178" s="2"/>
      <c r="D178" s="8" t="s">
        <v>741</v>
      </c>
      <c r="E178" t="s">
        <v>353</v>
      </c>
      <c r="F178" s="9">
        <v>39.9</v>
      </c>
      <c r="G178" s="9">
        <v>14331.333333333334</v>
      </c>
      <c r="H178" s="9">
        <v>347.66666666666669</v>
      </c>
      <c r="I178" s="9">
        <v>6694.333333333333</v>
      </c>
      <c r="J178" s="9">
        <v>2.5008885383046322</v>
      </c>
      <c r="K178" s="9">
        <v>1.256727908695795</v>
      </c>
      <c r="L178" s="9">
        <v>14.012851244482691</v>
      </c>
      <c r="M178" s="9">
        <v>5775.9280928118651</v>
      </c>
      <c r="N178" s="9">
        <v>147.27638416709362</v>
      </c>
      <c r="O178" s="9">
        <v>4367.8809889159447</v>
      </c>
      <c r="P178" s="9">
        <v>1.1594539639403136</v>
      </c>
      <c r="Q178" s="9">
        <v>0.58264018288457975</v>
      </c>
      <c r="R178" s="12" t="s">
        <v>587</v>
      </c>
      <c r="S178" t="s">
        <v>626</v>
      </c>
      <c r="T178" t="s">
        <v>592</v>
      </c>
      <c r="U178" t="s">
        <v>583</v>
      </c>
      <c r="V178" t="s">
        <v>723</v>
      </c>
      <c r="W178" s="12">
        <v>-2.220554999999993</v>
      </c>
      <c r="X178" s="12">
        <v>5</v>
      </c>
      <c r="Y178" s="12">
        <v>-20.5</v>
      </c>
      <c r="Z178" s="12">
        <v>0</v>
      </c>
      <c r="AA178" s="12">
        <v>-5.9</v>
      </c>
      <c r="AB178" s="10">
        <f t="shared" si="2"/>
        <v>1.7346570289084584</v>
      </c>
      <c r="AD178" s="12"/>
      <c r="AE178" s="12"/>
      <c r="AF178" s="12"/>
      <c r="AG178" s="12"/>
      <c r="AH178" s="12"/>
    </row>
    <row r="179" spans="1:34" x14ac:dyDescent="0.25">
      <c r="A179" t="s">
        <v>354</v>
      </c>
      <c r="B179" s="2"/>
      <c r="C179" s="2"/>
      <c r="D179" s="8" t="s">
        <v>741</v>
      </c>
      <c r="E179" t="s">
        <v>355</v>
      </c>
      <c r="F179" s="9">
        <v>50.5</v>
      </c>
      <c r="G179" s="9">
        <v>14875.2</v>
      </c>
      <c r="H179" s="9">
        <v>315.60000000000002</v>
      </c>
      <c r="I179" s="9">
        <v>8563.7999999999993</v>
      </c>
      <c r="J179" s="9">
        <v>2.4902500244449906</v>
      </c>
      <c r="K179" s="9">
        <v>1.2513819218316535</v>
      </c>
      <c r="L179" s="9">
        <v>7.2241262447440775</v>
      </c>
      <c r="M179" s="9">
        <v>7128.4642497525374</v>
      </c>
      <c r="N179" s="9">
        <v>50.507821176526711</v>
      </c>
      <c r="O179" s="9">
        <v>6418.9378685262254</v>
      </c>
      <c r="P179" s="9">
        <v>1.1476044100440468</v>
      </c>
      <c r="Q179" s="9">
        <v>0.57668563318796318</v>
      </c>
      <c r="R179" s="12" t="s">
        <v>587</v>
      </c>
      <c r="S179" t="s">
        <v>634</v>
      </c>
      <c r="T179" t="s">
        <v>605</v>
      </c>
      <c r="U179" t="s">
        <v>607</v>
      </c>
      <c r="V179" t="s">
        <v>721</v>
      </c>
      <c r="W179" s="12">
        <v>-3.7230100000000093</v>
      </c>
      <c r="X179" s="12">
        <v>4.5</v>
      </c>
      <c r="Y179" s="12">
        <v>-19.299999999999997</v>
      </c>
      <c r="Z179" s="12">
        <v>0</v>
      </c>
      <c r="AA179" s="12">
        <v>-9.1</v>
      </c>
      <c r="AB179" s="10">
        <f t="shared" si="2"/>
        <v>2.5436255559923788</v>
      </c>
      <c r="AD179" s="12"/>
      <c r="AE179" s="12"/>
      <c r="AF179" s="12"/>
      <c r="AG179" s="12"/>
      <c r="AH179" s="12"/>
    </row>
    <row r="180" spans="1:34" x14ac:dyDescent="0.25">
      <c r="A180" t="s">
        <v>356</v>
      </c>
      <c r="B180" s="2"/>
      <c r="C180" s="2"/>
      <c r="D180" s="8" t="s">
        <v>741</v>
      </c>
      <c r="E180" t="s">
        <v>357</v>
      </c>
      <c r="F180" s="9">
        <v>47.05</v>
      </c>
      <c r="G180" s="9">
        <v>14834.5</v>
      </c>
      <c r="H180" s="9">
        <v>421.25</v>
      </c>
      <c r="I180" s="9">
        <v>7085.25</v>
      </c>
      <c r="J180" s="9">
        <v>2.4673264558824224</v>
      </c>
      <c r="K180" s="9">
        <v>1.2398625406444335</v>
      </c>
      <c r="L180" s="9">
        <v>8.6603983742088939</v>
      </c>
      <c r="M180" s="9">
        <v>5860.995713187308</v>
      </c>
      <c r="N180" s="9">
        <v>396.11511899951506</v>
      </c>
      <c r="O180" s="9">
        <v>3689.6163333739728</v>
      </c>
      <c r="P180" s="9">
        <v>0.90230138207223654</v>
      </c>
      <c r="Q180" s="9">
        <v>0.45341777993579724</v>
      </c>
      <c r="R180" s="12" t="s">
        <v>573</v>
      </c>
      <c r="S180" t="s">
        <v>667</v>
      </c>
      <c r="T180" t="s">
        <v>574</v>
      </c>
      <c r="U180" t="s">
        <v>607</v>
      </c>
      <c r="V180" t="s">
        <v>730</v>
      </c>
      <c r="W180" s="12">
        <v>-1.7064700000000013</v>
      </c>
      <c r="X180" s="12">
        <v>4.5999999999999996</v>
      </c>
      <c r="Y180" s="12">
        <v>-8.9</v>
      </c>
      <c r="Z180" s="12">
        <v>-2.9000000000000004</v>
      </c>
      <c r="AA180" s="12">
        <v>-8</v>
      </c>
      <c r="AB180" s="10">
        <f t="shared" si="2"/>
        <v>6.4829296405932473</v>
      </c>
      <c r="AD180" s="12"/>
      <c r="AE180" s="12"/>
      <c r="AF180" s="12"/>
      <c r="AG180" s="12"/>
      <c r="AH180" s="12"/>
    </row>
    <row r="181" spans="1:34" x14ac:dyDescent="0.25">
      <c r="A181" t="s">
        <v>358</v>
      </c>
      <c r="B181" s="2"/>
      <c r="C181" s="2"/>
      <c r="D181" s="8" t="s">
        <v>741</v>
      </c>
      <c r="E181" t="s">
        <v>359</v>
      </c>
      <c r="F181" s="9">
        <v>48.325000000000003</v>
      </c>
      <c r="G181" s="9">
        <v>13369.875</v>
      </c>
      <c r="H181" s="9">
        <v>287.83749999999998</v>
      </c>
      <c r="I181" s="9">
        <v>7046.5</v>
      </c>
      <c r="J181" s="9">
        <v>2.4540408942802645</v>
      </c>
      <c r="K181" s="9">
        <v>1.2331863790353088</v>
      </c>
      <c r="L181" s="9">
        <v>7.9738243647574407</v>
      </c>
      <c r="M181" s="9">
        <v>5259.5273180557779</v>
      </c>
      <c r="N181" s="9">
        <v>109.50438276046317</v>
      </c>
      <c r="O181" s="9">
        <v>4909.4148582086646</v>
      </c>
      <c r="P181" s="9">
        <v>0.95188042005498108</v>
      </c>
      <c r="Q181" s="9">
        <v>0.47833186937436234</v>
      </c>
      <c r="R181" s="12" t="s">
        <v>587</v>
      </c>
      <c r="S181" t="s">
        <v>639</v>
      </c>
      <c r="T181" t="s">
        <v>640</v>
      </c>
      <c r="U181" t="s">
        <v>631</v>
      </c>
      <c r="V181" t="s">
        <v>721</v>
      </c>
      <c r="W181" s="12">
        <v>-3.7230100000000093</v>
      </c>
      <c r="X181" s="12">
        <v>3.4</v>
      </c>
      <c r="Y181" s="12">
        <v>-21.7</v>
      </c>
      <c r="Z181" s="12">
        <v>0</v>
      </c>
      <c r="AA181" s="12">
        <v>-7.5</v>
      </c>
      <c r="AB181" s="10">
        <f t="shared" si="2"/>
        <v>1.8495410191729293</v>
      </c>
      <c r="AD181" s="12"/>
      <c r="AE181" s="12"/>
      <c r="AF181" s="12"/>
      <c r="AG181" s="12"/>
      <c r="AH181" s="12"/>
    </row>
    <row r="182" spans="1:34" x14ac:dyDescent="0.25">
      <c r="A182" t="s">
        <v>360</v>
      </c>
      <c r="B182" s="2"/>
      <c r="C182" s="2"/>
      <c r="D182" s="8" t="s">
        <v>741</v>
      </c>
      <c r="E182" t="s">
        <v>361</v>
      </c>
      <c r="F182" s="9">
        <v>48.333333333333336</v>
      </c>
      <c r="G182" s="9">
        <v>13198.666666666666</v>
      </c>
      <c r="H182" s="9">
        <v>325.66666666666669</v>
      </c>
      <c r="I182" s="9">
        <v>7877</v>
      </c>
      <c r="J182" s="9">
        <v>2.4249753338683564</v>
      </c>
      <c r="K182" s="9">
        <v>1.2185805697830936</v>
      </c>
      <c r="L182" s="9">
        <v>23.233022475203995</v>
      </c>
      <c r="M182" s="9">
        <v>4867.5255863049497</v>
      </c>
      <c r="N182" s="9">
        <v>40.648903224236484</v>
      </c>
      <c r="O182" s="9">
        <v>6358.7726016897313</v>
      </c>
      <c r="P182" s="9">
        <v>1.6795783627901471</v>
      </c>
      <c r="Q182" s="9">
        <v>0.84400922753273722</v>
      </c>
      <c r="R182" s="12" t="s">
        <v>587</v>
      </c>
      <c r="S182" t="s">
        <v>593</v>
      </c>
      <c r="T182" t="s">
        <v>579</v>
      </c>
      <c r="U182" t="s">
        <v>583</v>
      </c>
      <c r="V182" t="s">
        <v>731</v>
      </c>
      <c r="W182" s="12">
        <v>-3.0109699999999937</v>
      </c>
      <c r="X182" s="12">
        <v>3.4</v>
      </c>
      <c r="Y182" s="12">
        <v>-14.299999999999999</v>
      </c>
      <c r="Z182" s="12">
        <v>-0.60000000000000142</v>
      </c>
      <c r="AA182" s="12">
        <v>-9</v>
      </c>
      <c r="AB182" s="10">
        <f t="shared" si="2"/>
        <v>3.7801609568186967</v>
      </c>
      <c r="AD182" s="12"/>
      <c r="AE182" s="12"/>
      <c r="AF182" s="12"/>
      <c r="AG182" s="12"/>
      <c r="AH182" s="12"/>
    </row>
    <row r="183" spans="1:34" x14ac:dyDescent="0.25">
      <c r="A183" t="s">
        <v>362</v>
      </c>
      <c r="B183" s="2"/>
      <c r="C183" s="2"/>
      <c r="D183" s="8" t="s">
        <v>741</v>
      </c>
      <c r="E183" t="s">
        <v>363</v>
      </c>
      <c r="F183" s="9">
        <v>45.95</v>
      </c>
      <c r="G183" s="9">
        <v>13550</v>
      </c>
      <c r="H183" s="9">
        <v>134</v>
      </c>
      <c r="I183" s="9">
        <v>5886</v>
      </c>
      <c r="J183" s="9">
        <v>2.4084559649002295</v>
      </c>
      <c r="K183" s="9">
        <v>1.2102793793468489</v>
      </c>
      <c r="L183" s="9">
        <v>7.8488852711706496</v>
      </c>
      <c r="M183" s="9">
        <v>2192.0310216782973</v>
      </c>
      <c r="N183" s="9">
        <v>16.970562748477139</v>
      </c>
      <c r="O183" s="9">
        <v>2262.7416997969522</v>
      </c>
      <c r="P183" s="9">
        <v>0.55346291577066986</v>
      </c>
      <c r="Q183" s="9">
        <v>0.27812206822646729</v>
      </c>
      <c r="R183" s="12" t="s">
        <v>645</v>
      </c>
      <c r="S183" t="s">
        <v>649</v>
      </c>
      <c r="T183" t="s">
        <v>586</v>
      </c>
      <c r="U183" t="s">
        <v>583</v>
      </c>
      <c r="V183" t="s">
        <v>724</v>
      </c>
      <c r="W183" s="12">
        <v>-3.4040350000000035</v>
      </c>
      <c r="X183" s="12">
        <v>3.4</v>
      </c>
      <c r="Y183" s="12">
        <v>-4.5999999999999996</v>
      </c>
      <c r="Z183" s="12">
        <v>-7</v>
      </c>
      <c r="AA183" s="12">
        <v>-5.9</v>
      </c>
      <c r="AB183" s="10">
        <f t="shared" si="2"/>
        <v>8.9813149036562567</v>
      </c>
      <c r="AD183" s="12"/>
      <c r="AE183" s="12"/>
      <c r="AF183" s="12"/>
      <c r="AG183" s="12"/>
      <c r="AH183" s="12"/>
    </row>
    <row r="184" spans="1:34" x14ac:dyDescent="0.25">
      <c r="A184" t="s">
        <v>364</v>
      </c>
      <c r="B184" s="2"/>
      <c r="C184" s="2"/>
      <c r="D184" s="8" t="s">
        <v>741</v>
      </c>
      <c r="E184" t="s">
        <v>365</v>
      </c>
      <c r="F184" s="9">
        <v>51.574999999999996</v>
      </c>
      <c r="G184" s="9">
        <v>16100</v>
      </c>
      <c r="H184" s="9">
        <v>369</v>
      </c>
      <c r="I184" s="9">
        <v>8607.5</v>
      </c>
      <c r="J184" s="9">
        <v>2.3493168559379072</v>
      </c>
      <c r="K184" s="9">
        <v>1.1805612341396519</v>
      </c>
      <c r="L184" s="9">
        <v>7.0488917568650695</v>
      </c>
      <c r="M184" s="9">
        <v>3540.4801934200959</v>
      </c>
      <c r="N184" s="9">
        <v>59.611240550755191</v>
      </c>
      <c r="O184" s="9">
        <v>4595.3842331191418</v>
      </c>
      <c r="P184" s="9">
        <v>0.99594707117604064</v>
      </c>
      <c r="Q184" s="9">
        <v>0.50047591516383949</v>
      </c>
      <c r="R184" s="12" t="s">
        <v>587</v>
      </c>
      <c r="S184" t="s">
        <v>641</v>
      </c>
      <c r="T184" t="s">
        <v>605</v>
      </c>
      <c r="U184" t="s">
        <v>607</v>
      </c>
      <c r="V184" t="s">
        <v>711</v>
      </c>
      <c r="W184" s="12">
        <v>-0.63561500000000526</v>
      </c>
      <c r="X184" s="12">
        <v>4.5</v>
      </c>
      <c r="Y184" s="12">
        <v>-17.299999999999997</v>
      </c>
      <c r="Z184" s="12">
        <v>-0.50000000000000355</v>
      </c>
      <c r="AA184" s="12">
        <v>-9.1</v>
      </c>
      <c r="AB184" s="10">
        <f t="shared" si="2"/>
        <v>6.3043474580460055</v>
      </c>
      <c r="AD184" s="12"/>
      <c r="AE184" s="12"/>
      <c r="AF184" s="12"/>
      <c r="AG184" s="12"/>
      <c r="AH184" s="12"/>
    </row>
    <row r="185" spans="1:34" x14ac:dyDescent="0.25">
      <c r="A185" t="s">
        <v>366</v>
      </c>
      <c r="B185" s="2"/>
      <c r="C185" s="2"/>
      <c r="D185" s="8" t="s">
        <v>741</v>
      </c>
      <c r="E185" t="s">
        <v>367</v>
      </c>
      <c r="F185" s="9">
        <v>46.425000000000004</v>
      </c>
      <c r="G185" s="9">
        <v>15605.25</v>
      </c>
      <c r="H185" s="9">
        <v>1191.75</v>
      </c>
      <c r="I185" s="9">
        <v>8708.5</v>
      </c>
      <c r="J185" s="9">
        <v>2.347332548264057</v>
      </c>
      <c r="K185" s="9">
        <v>1.1795640946050538</v>
      </c>
      <c r="L185" s="9">
        <v>11.059017813531167</v>
      </c>
      <c r="M185" s="9">
        <v>6072.3745509890941</v>
      </c>
      <c r="N185" s="9">
        <v>1580.9864602519528</v>
      </c>
      <c r="O185" s="9">
        <v>5186.6698612886476</v>
      </c>
      <c r="P185" s="9">
        <v>1.0508054775417814</v>
      </c>
      <c r="Q185" s="9">
        <v>0.52804295353858366</v>
      </c>
      <c r="R185" s="12" t="s">
        <v>587</v>
      </c>
      <c r="S185" t="s">
        <v>623</v>
      </c>
      <c r="T185" t="s">
        <v>579</v>
      </c>
      <c r="U185" t="s">
        <v>607</v>
      </c>
      <c r="V185" t="s">
        <v>721</v>
      </c>
      <c r="W185" s="12">
        <v>-3.7230100000000093</v>
      </c>
      <c r="X185" s="12">
        <v>5.5</v>
      </c>
      <c r="Y185" s="12">
        <v>-14.2</v>
      </c>
      <c r="Z185" s="12">
        <v>0</v>
      </c>
      <c r="AA185" s="12">
        <v>-8.8000000000000007</v>
      </c>
      <c r="AB185" s="10">
        <f t="shared" si="2"/>
        <v>2.2059317389689737</v>
      </c>
      <c r="AD185" s="12"/>
      <c r="AE185" s="12"/>
      <c r="AF185" s="12"/>
      <c r="AG185" s="12"/>
      <c r="AH185" s="12"/>
    </row>
    <row r="186" spans="1:34" x14ac:dyDescent="0.25">
      <c r="A186" t="s">
        <v>368</v>
      </c>
      <c r="B186" s="2"/>
      <c r="C186" s="2"/>
      <c r="D186" s="8" t="s">
        <v>741</v>
      </c>
      <c r="E186" t="s">
        <v>369</v>
      </c>
      <c r="F186" s="9">
        <v>44.9</v>
      </c>
      <c r="G186" s="9">
        <v>18800</v>
      </c>
      <c r="H186" s="9">
        <v>719</v>
      </c>
      <c r="I186" s="9">
        <v>8070.333333333333</v>
      </c>
      <c r="J186" s="9">
        <v>2.3320114599276693</v>
      </c>
      <c r="K186" s="9">
        <v>1.1718650552400349</v>
      </c>
      <c r="L186" s="9">
        <v>11.147196957082997</v>
      </c>
      <c r="M186" s="9">
        <v>3906.4049969249222</v>
      </c>
      <c r="N186" s="9">
        <v>411.69891911444216</v>
      </c>
      <c r="O186" s="9">
        <v>1718.3678948997569</v>
      </c>
      <c r="P186" s="9">
        <v>4.3854527812879761E-2</v>
      </c>
      <c r="Q186" s="9">
        <v>2.2037451162251136E-2</v>
      </c>
      <c r="R186" s="12" t="s">
        <v>674</v>
      </c>
      <c r="S186" t="s">
        <v>675</v>
      </c>
      <c r="T186" t="s">
        <v>671</v>
      </c>
      <c r="U186" t="s">
        <v>631</v>
      </c>
      <c r="V186" t="s">
        <v>732</v>
      </c>
      <c r="W186" s="12">
        <v>-2.6305299999999989</v>
      </c>
      <c r="X186" s="12">
        <v>3.4</v>
      </c>
      <c r="Y186" s="12">
        <v>-9.1</v>
      </c>
      <c r="Z186" s="12">
        <v>-7.2999999999999989</v>
      </c>
      <c r="AA186" s="12">
        <v>-9.1999999999999993</v>
      </c>
      <c r="AB186" s="10">
        <f t="shared" si="2"/>
        <v>20.768030021609444</v>
      </c>
      <c r="AD186" s="12"/>
      <c r="AE186" s="12"/>
      <c r="AF186" s="12"/>
      <c r="AG186" s="12"/>
      <c r="AH186" s="12"/>
    </row>
    <row r="187" spans="1:34" x14ac:dyDescent="0.25">
      <c r="A187" t="s">
        <v>370</v>
      </c>
      <c r="B187" s="2"/>
      <c r="C187" s="2"/>
      <c r="D187" s="8" t="s">
        <v>741</v>
      </c>
      <c r="E187" t="s">
        <v>371</v>
      </c>
      <c r="F187" s="9">
        <v>50.5</v>
      </c>
      <c r="G187" s="9">
        <v>15100</v>
      </c>
      <c r="H187" s="9">
        <v>274.66666666666669</v>
      </c>
      <c r="I187" s="9">
        <v>7134.666666666667</v>
      </c>
      <c r="J187" s="9">
        <v>2.3089686403107028</v>
      </c>
      <c r="K187" s="9">
        <v>1.1602857488998506</v>
      </c>
      <c r="L187" s="9">
        <v>13.650152624299352</v>
      </c>
      <c r="M187" s="9">
        <v>3847.943173523573</v>
      </c>
      <c r="N187" s="9">
        <v>34.315529364349835</v>
      </c>
      <c r="O187" s="9">
        <v>3219.8328459029603</v>
      </c>
      <c r="P187" s="9">
        <v>0.42717754278357423</v>
      </c>
      <c r="Q187" s="9">
        <v>0.21466208180079108</v>
      </c>
      <c r="R187" s="12" t="s">
        <v>573</v>
      </c>
      <c r="S187" t="s">
        <v>571</v>
      </c>
      <c r="T187" t="s">
        <v>603</v>
      </c>
      <c r="U187" t="s">
        <v>572</v>
      </c>
      <c r="V187" t="s">
        <v>699</v>
      </c>
      <c r="W187" s="12">
        <v>0.56494999999999707</v>
      </c>
      <c r="X187" s="12">
        <v>5.6</v>
      </c>
      <c r="Y187" s="12">
        <v>-16.299999999999997</v>
      </c>
      <c r="Z187" s="12">
        <v>-2.9000000000000021</v>
      </c>
      <c r="AA187" s="12">
        <v>-8</v>
      </c>
      <c r="AB187" s="10">
        <f t="shared" si="2"/>
        <v>6.4529916147171598</v>
      </c>
      <c r="AD187" s="12"/>
      <c r="AE187" s="12"/>
      <c r="AF187" s="12"/>
      <c r="AG187" s="12"/>
      <c r="AH187" s="12"/>
    </row>
    <row r="188" spans="1:34" x14ac:dyDescent="0.25">
      <c r="A188" t="s">
        <v>372</v>
      </c>
      <c r="B188" s="2"/>
      <c r="C188" s="2"/>
      <c r="D188" s="8" t="s">
        <v>741</v>
      </c>
      <c r="E188" t="s">
        <v>373</v>
      </c>
      <c r="F188" s="9">
        <v>39.299999999999997</v>
      </c>
      <c r="G188" s="9">
        <v>10297.5</v>
      </c>
      <c r="H188" s="9">
        <v>147.5</v>
      </c>
      <c r="I188" s="9">
        <v>4567.5</v>
      </c>
      <c r="J188" s="9">
        <v>2.2917650172252255</v>
      </c>
      <c r="K188" s="9">
        <v>1.1516407121734802</v>
      </c>
      <c r="L188" s="9">
        <v>20.930360723121815</v>
      </c>
      <c r="M188" s="9">
        <v>3114.8053711267416</v>
      </c>
      <c r="N188" s="9">
        <v>3.5355339059327378</v>
      </c>
      <c r="O188" s="9">
        <v>1747.2608563119588</v>
      </c>
      <c r="P188" s="9">
        <v>0.19474678387213931</v>
      </c>
      <c r="Q188" s="9">
        <v>9.7862705463386587E-2</v>
      </c>
      <c r="R188" s="12" t="s">
        <v>660</v>
      </c>
      <c r="S188" t="s">
        <v>662</v>
      </c>
      <c r="T188" t="s">
        <v>663</v>
      </c>
      <c r="U188" t="s">
        <v>583</v>
      </c>
      <c r="V188" t="s">
        <v>733</v>
      </c>
      <c r="W188" s="12">
        <v>-1.5258350000000065</v>
      </c>
      <c r="X188" s="12">
        <v>3.4</v>
      </c>
      <c r="Y188" s="12">
        <v>-3.6</v>
      </c>
      <c r="Z188" s="12">
        <v>-2.4</v>
      </c>
      <c r="AA188" s="12">
        <v>-7</v>
      </c>
      <c r="AB188" s="10">
        <f t="shared" si="2"/>
        <v>5.5741894995174208</v>
      </c>
      <c r="AD188" s="12"/>
      <c r="AE188" s="12"/>
      <c r="AF188" s="12"/>
      <c r="AG188" s="12"/>
      <c r="AH188" s="12"/>
    </row>
    <row r="189" spans="1:34" x14ac:dyDescent="0.25">
      <c r="A189" t="s">
        <v>374</v>
      </c>
      <c r="B189" s="2"/>
      <c r="C189" s="2"/>
      <c r="D189" s="8" t="s">
        <v>741</v>
      </c>
      <c r="E189" t="s">
        <v>375</v>
      </c>
      <c r="F189" s="9">
        <v>56.5</v>
      </c>
      <c r="G189" s="9">
        <v>11886.75</v>
      </c>
      <c r="H189" s="9">
        <v>1001.25</v>
      </c>
      <c r="I189" s="9">
        <v>6297.25</v>
      </c>
      <c r="J189" s="9">
        <v>2.2229301173037985</v>
      </c>
      <c r="K189" s="9">
        <v>1.1170503102029139</v>
      </c>
      <c r="L189" s="9">
        <v>14.795776424371937</v>
      </c>
      <c r="M189" s="9">
        <v>5496.9767770566395</v>
      </c>
      <c r="N189" s="9">
        <v>729.57123538418102</v>
      </c>
      <c r="O189" s="9">
        <v>4297.1180676704707</v>
      </c>
      <c r="P189" s="9">
        <v>0.53295781233248174</v>
      </c>
      <c r="Q189" s="9">
        <v>0.26781799614697577</v>
      </c>
      <c r="R189" s="12" t="s">
        <v>587</v>
      </c>
      <c r="S189" t="s">
        <v>620</v>
      </c>
      <c r="T189" t="s">
        <v>621</v>
      </c>
      <c r="U189" t="s">
        <v>572</v>
      </c>
      <c r="V189" t="s">
        <v>734</v>
      </c>
      <c r="W189" s="12">
        <v>-3.3010150000000138</v>
      </c>
      <c r="X189" s="12">
        <v>4.5</v>
      </c>
      <c r="Y189" s="12">
        <v>-13.2</v>
      </c>
      <c r="Z189" s="12">
        <v>-1</v>
      </c>
      <c r="AA189" s="12">
        <v>-10</v>
      </c>
      <c r="AB189" s="10">
        <f t="shared" si="2"/>
        <v>4.6220229273604971</v>
      </c>
      <c r="AD189" s="12"/>
      <c r="AE189" s="12"/>
      <c r="AF189" s="12"/>
      <c r="AG189" s="12"/>
      <c r="AH189" s="12"/>
    </row>
    <row r="190" spans="1:34" x14ac:dyDescent="0.25">
      <c r="A190" t="s">
        <v>376</v>
      </c>
      <c r="B190" s="2"/>
      <c r="C190" s="2"/>
      <c r="D190" s="8" t="s">
        <v>741</v>
      </c>
      <c r="E190" t="s">
        <v>377</v>
      </c>
      <c r="F190" s="9">
        <v>44.7</v>
      </c>
      <c r="G190" s="9">
        <v>11300</v>
      </c>
      <c r="H190" s="9">
        <v>138.5</v>
      </c>
      <c r="I190" s="9">
        <v>5209</v>
      </c>
      <c r="J190" s="9">
        <v>2.2214407194640899</v>
      </c>
      <c r="K190" s="9">
        <v>1.1163018690774322</v>
      </c>
      <c r="L190" s="9">
        <v>7.6367532368146946</v>
      </c>
      <c r="M190" s="9">
        <v>1131.3708498984761</v>
      </c>
      <c r="N190" s="9">
        <v>14.849242404917497</v>
      </c>
      <c r="O190" s="9">
        <v>1411.3851352483489</v>
      </c>
      <c r="P190" s="9">
        <v>0.3847067691281516</v>
      </c>
      <c r="Q190" s="9">
        <v>0.19331998448650833</v>
      </c>
      <c r="R190" s="12" t="s">
        <v>645</v>
      </c>
      <c r="S190" t="s">
        <v>648</v>
      </c>
      <c r="T190" t="s">
        <v>586</v>
      </c>
      <c r="U190" t="s">
        <v>583</v>
      </c>
      <c r="V190" t="s">
        <v>724</v>
      </c>
      <c r="W190" s="12">
        <v>-3.4040350000000035</v>
      </c>
      <c r="X190" s="12">
        <v>5</v>
      </c>
      <c r="Y190" s="12">
        <v>-2.2000000000000002</v>
      </c>
      <c r="Z190" s="12">
        <v>-6.9999999999999991</v>
      </c>
      <c r="AA190" s="12">
        <v>-5.9</v>
      </c>
      <c r="AB190" s="10">
        <f t="shared" si="2"/>
        <v>6.196159068032018</v>
      </c>
      <c r="AD190" s="12"/>
      <c r="AE190" s="12"/>
      <c r="AF190" s="12"/>
      <c r="AG190" s="12"/>
      <c r="AH190" s="12"/>
    </row>
    <row r="191" spans="1:34" x14ac:dyDescent="0.25">
      <c r="A191" t="s">
        <v>378</v>
      </c>
      <c r="B191" s="2"/>
      <c r="C191" s="2"/>
      <c r="D191" s="8" t="s">
        <v>741</v>
      </c>
      <c r="E191" t="s">
        <v>379</v>
      </c>
      <c r="F191" s="9">
        <v>40.25</v>
      </c>
      <c r="G191" s="9">
        <v>11389.5</v>
      </c>
      <c r="H191" s="9">
        <v>249.5</v>
      </c>
      <c r="I191" s="9">
        <v>7445.25</v>
      </c>
      <c r="J191" s="9">
        <v>2.1790846123452718</v>
      </c>
      <c r="K191" s="9">
        <v>1.0950173931383276</v>
      </c>
      <c r="L191" s="9">
        <v>8.8194387576534492</v>
      </c>
      <c r="M191" s="9">
        <v>4974.065816814249</v>
      </c>
      <c r="N191" s="9">
        <v>61.735322142190206</v>
      </c>
      <c r="O191" s="9">
        <v>4870.1347709791362</v>
      </c>
      <c r="P191" s="9">
        <v>1.2005562441603439</v>
      </c>
      <c r="Q191" s="9">
        <v>0.60329459505544925</v>
      </c>
      <c r="R191" s="12" t="s">
        <v>587</v>
      </c>
      <c r="S191" t="s">
        <v>642</v>
      </c>
      <c r="T191" t="s">
        <v>643</v>
      </c>
      <c r="U191" t="s">
        <v>607</v>
      </c>
      <c r="V191" t="s">
        <v>711</v>
      </c>
      <c r="W191" s="12">
        <v>-0.63561500000000526</v>
      </c>
      <c r="X191" s="12">
        <v>4.5999999999999996</v>
      </c>
      <c r="Y191" s="12">
        <v>-15.199999999999998</v>
      </c>
      <c r="Z191" s="12">
        <v>-0.50000000000000178</v>
      </c>
      <c r="AA191" s="12">
        <v>-7.5</v>
      </c>
      <c r="AB191" s="10">
        <f t="shared" si="2"/>
        <v>4.1799807052995543</v>
      </c>
      <c r="AD191" s="12"/>
      <c r="AE191" s="12"/>
      <c r="AF191" s="12"/>
      <c r="AG191" s="12"/>
      <c r="AH191" s="12"/>
    </row>
    <row r="192" spans="1:34" x14ac:dyDescent="0.25">
      <c r="A192" t="s">
        <v>380</v>
      </c>
      <c r="B192" s="2"/>
      <c r="C192" s="2"/>
      <c r="D192" s="8" t="s">
        <v>741</v>
      </c>
      <c r="E192" t="s">
        <v>381</v>
      </c>
      <c r="F192" s="9">
        <v>44.6</v>
      </c>
      <c r="G192" s="9">
        <v>20800</v>
      </c>
      <c r="H192" s="9">
        <v>2243.3333333333335</v>
      </c>
      <c r="I192" s="9">
        <v>9793.6666666666661</v>
      </c>
      <c r="J192" s="9">
        <v>2.1790100606189653</v>
      </c>
      <c r="K192" s="9">
        <v>1.0949799299592791</v>
      </c>
      <c r="L192" s="9">
        <v>14.7087275678988</v>
      </c>
      <c r="M192" s="9">
        <v>6518.1797049994457</v>
      </c>
      <c r="N192" s="9">
        <v>263.64917767535115</v>
      </c>
      <c r="O192" s="9">
        <v>3727.4987443175469</v>
      </c>
      <c r="P192" s="9">
        <v>0.17968571385870269</v>
      </c>
      <c r="Q192" s="9">
        <v>9.0294328572212409E-2</v>
      </c>
      <c r="R192" s="12" t="s">
        <v>587</v>
      </c>
      <c r="S192" t="s">
        <v>613</v>
      </c>
      <c r="T192" t="s">
        <v>614</v>
      </c>
      <c r="U192" t="s">
        <v>572</v>
      </c>
      <c r="V192" t="s">
        <v>734</v>
      </c>
      <c r="W192" s="12">
        <v>-3.3010150000000138</v>
      </c>
      <c r="X192" s="12">
        <v>4.5</v>
      </c>
      <c r="Y192" s="12">
        <v>-13.7</v>
      </c>
      <c r="Z192" s="12">
        <v>-2.2000000000000011</v>
      </c>
      <c r="AA192" s="12">
        <v>-9.1</v>
      </c>
      <c r="AB192" s="10">
        <f t="shared" si="2"/>
        <v>4.990127575941635</v>
      </c>
      <c r="AD192" s="12"/>
      <c r="AE192" s="12"/>
      <c r="AF192" s="12"/>
      <c r="AG192" s="12"/>
      <c r="AH192" s="12"/>
    </row>
    <row r="193" spans="1:34" x14ac:dyDescent="0.25">
      <c r="A193" t="s">
        <v>382</v>
      </c>
      <c r="B193" s="2"/>
      <c r="C193" s="2"/>
      <c r="D193" s="8" t="s">
        <v>742</v>
      </c>
      <c r="E193" t="s">
        <v>383</v>
      </c>
      <c r="F193" s="9">
        <v>57.849999999999994</v>
      </c>
      <c r="G193" s="9">
        <v>16200</v>
      </c>
      <c r="H193" s="9">
        <v>275</v>
      </c>
      <c r="I193" s="9">
        <v>8545.5</v>
      </c>
      <c r="J193" s="9">
        <v>2.169580943124537</v>
      </c>
      <c r="K193" s="9">
        <v>1.0902416799620789</v>
      </c>
      <c r="L193" s="9">
        <v>14.75</v>
      </c>
      <c r="M193" s="9">
        <v>4200</v>
      </c>
      <c r="N193" s="9">
        <v>55</v>
      </c>
      <c r="O193" s="9">
        <v>4154.5</v>
      </c>
      <c r="P193" s="9">
        <v>0.56328173052611197</v>
      </c>
      <c r="Q193" s="9">
        <v>0.28305614599302109</v>
      </c>
      <c r="R193" s="12" t="s">
        <v>587</v>
      </c>
      <c r="S193" t="s">
        <v>644</v>
      </c>
      <c r="T193" t="s">
        <v>638</v>
      </c>
      <c r="U193" t="s">
        <v>589</v>
      </c>
      <c r="V193" t="s">
        <v>707</v>
      </c>
      <c r="W193" s="12">
        <v>1.6358049999999931</v>
      </c>
      <c r="X193" s="12">
        <v>3.8</v>
      </c>
      <c r="Y193" s="12">
        <v>-21.299999999999997</v>
      </c>
      <c r="Z193" s="12">
        <v>-1.2000000000000028</v>
      </c>
      <c r="AA193" s="12">
        <v>-7.5</v>
      </c>
      <c r="AB193" s="10">
        <f t="shared" si="2"/>
        <v>10.175107883419452</v>
      </c>
      <c r="AD193" s="12"/>
      <c r="AE193" s="12"/>
      <c r="AF193" s="12"/>
      <c r="AG193" s="12"/>
      <c r="AH193" s="12"/>
    </row>
    <row r="194" spans="1:34" x14ac:dyDescent="0.25">
      <c r="A194" t="s">
        <v>384</v>
      </c>
      <c r="B194" s="2"/>
      <c r="C194" s="2"/>
      <c r="D194" s="8" t="s">
        <v>741</v>
      </c>
      <c r="E194" t="s">
        <v>385</v>
      </c>
      <c r="F194" s="9">
        <v>52.825000000000003</v>
      </c>
      <c r="G194" s="9">
        <v>15775</v>
      </c>
      <c r="H194" s="9">
        <v>292</v>
      </c>
      <c r="I194" s="9">
        <v>9521</v>
      </c>
      <c r="J194" s="9">
        <v>2.159755408814914</v>
      </c>
      <c r="K194" s="9">
        <v>1.0853042255351326</v>
      </c>
      <c r="L194" s="9">
        <v>13.223534890489761</v>
      </c>
      <c r="M194" s="9">
        <v>4754.6687581786391</v>
      </c>
      <c r="N194" s="9">
        <v>148.21099824237066</v>
      </c>
      <c r="O194" s="9">
        <v>6459.2400094747991</v>
      </c>
      <c r="P194" s="9">
        <v>0.90416863333921826</v>
      </c>
      <c r="Q194" s="9">
        <v>0.45435609715538605</v>
      </c>
      <c r="R194" s="12" t="s">
        <v>573</v>
      </c>
      <c r="S194" t="s">
        <v>668</v>
      </c>
      <c r="T194" t="s">
        <v>605</v>
      </c>
      <c r="U194" t="s">
        <v>607</v>
      </c>
      <c r="V194" t="s">
        <v>699</v>
      </c>
      <c r="W194" s="12">
        <v>0.56494999999999707</v>
      </c>
      <c r="X194" s="12">
        <v>5.5</v>
      </c>
      <c r="Y194" s="12">
        <v>-16.399999999999999</v>
      </c>
      <c r="Z194" s="12">
        <v>-2.9000000000000021</v>
      </c>
      <c r="AA194" s="12">
        <v>-8</v>
      </c>
      <c r="AB194" s="10">
        <f t="shared" si="2"/>
        <v>6.7236462046944627</v>
      </c>
      <c r="AD194" s="12"/>
      <c r="AE194" s="12"/>
      <c r="AF194" s="12"/>
      <c r="AG194" s="12"/>
      <c r="AH194" s="12"/>
    </row>
    <row r="195" spans="1:34" x14ac:dyDescent="0.25">
      <c r="A195" t="s">
        <v>386</v>
      </c>
      <c r="B195" s="2"/>
      <c r="C195" s="2"/>
      <c r="D195" s="8" t="s">
        <v>741</v>
      </c>
      <c r="E195" t="s">
        <v>387</v>
      </c>
      <c r="F195" s="9">
        <v>41.56666666666667</v>
      </c>
      <c r="G195" s="9">
        <v>14500</v>
      </c>
      <c r="H195" s="9">
        <v>352.33333333333331</v>
      </c>
      <c r="I195" s="9">
        <v>7362.333333333333</v>
      </c>
      <c r="J195" s="9">
        <v>2.094602361128052</v>
      </c>
      <c r="K195" s="9">
        <v>1.0525640005668604</v>
      </c>
      <c r="L195" s="9">
        <v>4.7681815774522933</v>
      </c>
      <c r="M195" s="9">
        <v>5181.3769083774123</v>
      </c>
      <c r="N195" s="9">
        <v>144.74191591319433</v>
      </c>
      <c r="O195" s="9">
        <v>3124.8087230349884</v>
      </c>
      <c r="P195" s="9">
        <v>0.45416068901875656</v>
      </c>
      <c r="Q195" s="9">
        <v>0.22822145176821937</v>
      </c>
      <c r="R195" s="12" t="s">
        <v>587</v>
      </c>
      <c r="S195" t="s">
        <v>634</v>
      </c>
      <c r="T195" t="s">
        <v>605</v>
      </c>
      <c r="U195" t="s">
        <v>607</v>
      </c>
      <c r="V195" t="s">
        <v>735</v>
      </c>
      <c r="W195" s="12">
        <v>-3.1192499999999925</v>
      </c>
      <c r="X195" s="12">
        <v>4.5</v>
      </c>
      <c r="Y195" s="12">
        <v>-19.299999999999997</v>
      </c>
      <c r="Z195" s="12">
        <v>0</v>
      </c>
      <c r="AA195" s="12">
        <v>-9.1</v>
      </c>
      <c r="AB195" s="10">
        <f t="shared" ref="AB195:AB258" si="3">1+1/(0.005*EXP(0.6*X195)+6*EXP(0.45*(Z195+AA195-W195))*(1+0.005*EXP(0.6*X195)))</f>
        <v>2.9554129924879762</v>
      </c>
      <c r="AD195" s="12"/>
      <c r="AE195" s="12"/>
      <c r="AF195" s="12"/>
      <c r="AG195" s="12"/>
      <c r="AH195" s="12"/>
    </row>
    <row r="196" spans="1:34" x14ac:dyDescent="0.25">
      <c r="A196" t="s">
        <v>388</v>
      </c>
      <c r="B196" s="2"/>
      <c r="C196" s="2"/>
      <c r="D196" s="8" t="s">
        <v>741</v>
      </c>
      <c r="E196" t="s">
        <v>389</v>
      </c>
      <c r="F196" s="9">
        <v>47.133333333333333</v>
      </c>
      <c r="G196" s="9">
        <v>15698.666666666666</v>
      </c>
      <c r="H196" s="9">
        <v>354.66666666666669</v>
      </c>
      <c r="I196" s="9">
        <v>10012.333333333334</v>
      </c>
      <c r="J196" s="9">
        <v>2.091134923488057</v>
      </c>
      <c r="K196" s="9">
        <v>1.0508215695919885</v>
      </c>
      <c r="L196" s="9">
        <v>15.697204280451412</v>
      </c>
      <c r="M196" s="9">
        <v>6513.3711360213119</v>
      </c>
      <c r="N196" s="9">
        <v>70.919359525841429</v>
      </c>
      <c r="O196" s="9">
        <v>6448.9800916286149</v>
      </c>
      <c r="P196" s="9">
        <v>0.9596855165717576</v>
      </c>
      <c r="Q196" s="9">
        <v>0.4822540284280189</v>
      </c>
      <c r="R196" s="12" t="s">
        <v>587</v>
      </c>
      <c r="S196" t="s">
        <v>623</v>
      </c>
      <c r="T196" t="s">
        <v>579</v>
      </c>
      <c r="U196" t="s">
        <v>607</v>
      </c>
      <c r="V196" t="s">
        <v>735</v>
      </c>
      <c r="W196" s="12">
        <v>-3.1192499999999925</v>
      </c>
      <c r="X196" s="12">
        <v>5.5</v>
      </c>
      <c r="Y196" s="12">
        <v>-14.2</v>
      </c>
      <c r="Z196" s="12">
        <v>0</v>
      </c>
      <c r="AA196" s="12">
        <v>-8.8000000000000007</v>
      </c>
      <c r="AB196" s="10">
        <f t="shared" si="3"/>
        <v>2.505565392792636</v>
      </c>
      <c r="AD196" s="12"/>
      <c r="AE196" s="12"/>
      <c r="AF196" s="12"/>
      <c r="AG196" s="12"/>
      <c r="AH196" s="12"/>
    </row>
    <row r="197" spans="1:34" x14ac:dyDescent="0.25">
      <c r="A197" t="s">
        <v>390</v>
      </c>
      <c r="B197" s="2"/>
      <c r="C197" s="2"/>
      <c r="D197" s="8" t="s">
        <v>741</v>
      </c>
      <c r="E197" t="s">
        <v>391</v>
      </c>
      <c r="F197" s="9">
        <v>55.699999999999996</v>
      </c>
      <c r="G197" s="9">
        <v>13001.75</v>
      </c>
      <c r="H197" s="9">
        <v>1151.5</v>
      </c>
      <c r="I197" s="9">
        <v>7544.5</v>
      </c>
      <c r="J197" s="9">
        <v>2.0570587314182589</v>
      </c>
      <c r="K197" s="9">
        <v>1.0336978549840496</v>
      </c>
      <c r="L197" s="9">
        <v>10.30000000000005</v>
      </c>
      <c r="M197" s="9">
        <v>5433.5126012092769</v>
      </c>
      <c r="N197" s="9">
        <v>787.51936484127168</v>
      </c>
      <c r="O197" s="9">
        <v>5116.4700966584378</v>
      </c>
      <c r="P197" s="9">
        <v>0.52097508247722191</v>
      </c>
      <c r="Q197" s="9">
        <v>0.26179652385790048</v>
      </c>
      <c r="R197" s="12" t="s">
        <v>587</v>
      </c>
      <c r="S197" t="s">
        <v>624</v>
      </c>
      <c r="T197" t="s">
        <v>621</v>
      </c>
      <c r="U197" t="s">
        <v>572</v>
      </c>
      <c r="V197" t="s">
        <v>734</v>
      </c>
      <c r="W197" s="12">
        <v>-3.3010150000000138</v>
      </c>
      <c r="X197" s="12">
        <v>5.6</v>
      </c>
      <c r="Y197" s="12">
        <v>-14.1</v>
      </c>
      <c r="Z197" s="12">
        <v>-1.0999999999999996</v>
      </c>
      <c r="AA197" s="12">
        <v>-8.8000000000000007</v>
      </c>
      <c r="AB197" s="10">
        <f t="shared" si="3"/>
        <v>3.0151697464865763</v>
      </c>
      <c r="AD197" s="12"/>
      <c r="AE197" s="12"/>
      <c r="AF197" s="12"/>
      <c r="AG197" s="12"/>
      <c r="AH197" s="12"/>
    </row>
    <row r="198" spans="1:34" x14ac:dyDescent="0.25">
      <c r="A198" t="s">
        <v>392</v>
      </c>
      <c r="B198" s="2"/>
      <c r="C198" s="2"/>
      <c r="D198" s="8" t="s">
        <v>741</v>
      </c>
      <c r="E198" t="s">
        <v>393</v>
      </c>
      <c r="F198" s="9">
        <v>44.024999999999999</v>
      </c>
      <c r="G198" s="9">
        <v>12260.75</v>
      </c>
      <c r="H198" s="9">
        <v>228.27500000000001</v>
      </c>
      <c r="I198" s="9">
        <v>8556</v>
      </c>
      <c r="J198" s="9">
        <v>2.0270777025226798</v>
      </c>
      <c r="K198" s="9">
        <v>1.0186320113179295</v>
      </c>
      <c r="L198" s="9">
        <v>10.92917540347853</v>
      </c>
      <c r="M198" s="9">
        <v>5872.6247698537663</v>
      </c>
      <c r="N198" s="9">
        <v>102.62809983138148</v>
      </c>
      <c r="O198" s="9">
        <v>6538.5039573284648</v>
      </c>
      <c r="P198" s="9">
        <v>0.99029101883522785</v>
      </c>
      <c r="Q198" s="9">
        <v>0.49763367780664719</v>
      </c>
      <c r="R198" s="12" t="s">
        <v>587</v>
      </c>
      <c r="S198" t="s">
        <v>642</v>
      </c>
      <c r="T198" t="s">
        <v>643</v>
      </c>
      <c r="U198" t="s">
        <v>607</v>
      </c>
      <c r="V198" t="s">
        <v>721</v>
      </c>
      <c r="W198" s="12">
        <v>-3.7230100000000093</v>
      </c>
      <c r="X198" s="12">
        <v>4.5999999999999996</v>
      </c>
      <c r="Y198" s="12">
        <v>-15.199999999999998</v>
      </c>
      <c r="Z198" s="12">
        <v>0</v>
      </c>
      <c r="AA198" s="12">
        <v>-7.5</v>
      </c>
      <c r="AB198" s="10">
        <f t="shared" si="3"/>
        <v>1.7923234459562902</v>
      </c>
      <c r="AD198" s="12"/>
      <c r="AE198" s="12"/>
      <c r="AF198" s="12"/>
      <c r="AG198" s="12"/>
      <c r="AH198" s="12"/>
    </row>
    <row r="199" spans="1:34" x14ac:dyDescent="0.25">
      <c r="A199" t="s">
        <v>394</v>
      </c>
      <c r="B199" s="2"/>
      <c r="C199" s="2"/>
      <c r="D199" s="8" t="s">
        <v>741</v>
      </c>
      <c r="E199" t="s">
        <v>395</v>
      </c>
      <c r="F199" s="9">
        <v>46.2</v>
      </c>
      <c r="G199" s="9">
        <v>12957.75</v>
      </c>
      <c r="H199" s="9">
        <v>432.25</v>
      </c>
      <c r="I199" s="9">
        <v>8343.5</v>
      </c>
      <c r="J199" s="9">
        <v>1.9970230916642153</v>
      </c>
      <c r="K199" s="9">
        <v>1.0035291917910629</v>
      </c>
      <c r="L199" s="9">
        <v>4.9754396790635607</v>
      </c>
      <c r="M199" s="9">
        <v>4811.6894317380875</v>
      </c>
      <c r="N199" s="9">
        <v>149.36762534096871</v>
      </c>
      <c r="O199" s="9">
        <v>4680.9593300946335</v>
      </c>
      <c r="P199" s="9">
        <v>0.88286586874105311</v>
      </c>
      <c r="Q199" s="9">
        <v>0.44365119032213723</v>
      </c>
      <c r="R199" s="12" t="s">
        <v>573</v>
      </c>
      <c r="S199" t="s">
        <v>668</v>
      </c>
      <c r="T199" t="s">
        <v>605</v>
      </c>
      <c r="U199" t="s">
        <v>607</v>
      </c>
      <c r="V199" t="s">
        <v>730</v>
      </c>
      <c r="W199" s="12">
        <v>-1.7064700000000013</v>
      </c>
      <c r="X199" s="12">
        <v>5.5</v>
      </c>
      <c r="Y199" s="12">
        <v>-16.399999999999999</v>
      </c>
      <c r="Z199" s="12">
        <v>-2.9000000000000021</v>
      </c>
      <c r="AA199" s="12">
        <v>-8</v>
      </c>
      <c r="AB199" s="10">
        <f t="shared" si="3"/>
        <v>5.0921897736410617</v>
      </c>
      <c r="AD199" s="12"/>
      <c r="AE199" s="12"/>
      <c r="AF199" s="12"/>
      <c r="AG199" s="12"/>
      <c r="AH199" s="12"/>
    </row>
    <row r="200" spans="1:34" x14ac:dyDescent="0.25">
      <c r="A200" t="s">
        <v>396</v>
      </c>
      <c r="B200" s="2"/>
      <c r="C200" s="2"/>
      <c r="D200" s="8" t="s">
        <v>741</v>
      </c>
      <c r="E200" t="s">
        <v>397</v>
      </c>
      <c r="F200" s="9">
        <v>55.266666666666673</v>
      </c>
      <c r="G200" s="9">
        <v>15332.666666666666</v>
      </c>
      <c r="H200" s="9">
        <v>955</v>
      </c>
      <c r="I200" s="9">
        <v>9755.3333333333339</v>
      </c>
      <c r="J200" s="9">
        <v>1.9674843808428786</v>
      </c>
      <c r="K200" s="9">
        <v>0.98868561851400938</v>
      </c>
      <c r="L200" s="9">
        <v>9.4319787013236098</v>
      </c>
      <c r="M200" s="9">
        <v>7173.209478484664</v>
      </c>
      <c r="N200" s="9">
        <v>81.991869515621289</v>
      </c>
      <c r="O200" s="9">
        <v>6699.1813098484072</v>
      </c>
      <c r="P200" s="9">
        <v>0.57322654799510564</v>
      </c>
      <c r="Q200" s="9">
        <v>0.28805354170608322</v>
      </c>
      <c r="R200" s="12" t="s">
        <v>573</v>
      </c>
      <c r="S200" t="s">
        <v>689</v>
      </c>
      <c r="T200" t="s">
        <v>581</v>
      </c>
      <c r="U200" t="s">
        <v>631</v>
      </c>
      <c r="V200" t="s">
        <v>726</v>
      </c>
      <c r="W200" s="12">
        <v>-3.3021449999999968</v>
      </c>
      <c r="X200" s="12">
        <v>3.4</v>
      </c>
      <c r="Y200" s="12">
        <v>-10.1</v>
      </c>
      <c r="Z200" s="12">
        <v>-2.9000000000000004</v>
      </c>
      <c r="AA200" s="12">
        <v>-8</v>
      </c>
      <c r="AB200" s="10">
        <f t="shared" si="3"/>
        <v>5.1241901483932413</v>
      </c>
      <c r="AD200" s="12"/>
      <c r="AE200" s="12"/>
      <c r="AF200" s="12"/>
      <c r="AG200" s="12"/>
      <c r="AH200" s="12"/>
    </row>
    <row r="201" spans="1:34" x14ac:dyDescent="0.25">
      <c r="A201" t="s">
        <v>398</v>
      </c>
      <c r="B201" s="2"/>
      <c r="C201" s="2"/>
      <c r="D201" s="8" t="s">
        <v>741</v>
      </c>
      <c r="E201" t="s">
        <v>399</v>
      </c>
      <c r="F201" s="9">
        <v>49.95</v>
      </c>
      <c r="G201" s="9">
        <v>13070</v>
      </c>
      <c r="H201" s="9">
        <v>315.25</v>
      </c>
      <c r="I201" s="9">
        <v>8780.75</v>
      </c>
      <c r="J201" s="9">
        <v>1.9619903233946097</v>
      </c>
      <c r="K201" s="9">
        <v>0.98592478562543195</v>
      </c>
      <c r="L201" s="9">
        <v>11.205913617371825</v>
      </c>
      <c r="M201" s="9">
        <v>6269.5853132404218</v>
      </c>
      <c r="N201" s="9">
        <v>52.973460336285378</v>
      </c>
      <c r="O201" s="9">
        <v>6176.0362440241561</v>
      </c>
      <c r="P201" s="9">
        <v>0.7622803198594883</v>
      </c>
      <c r="Q201" s="9">
        <v>0.38305543711532075</v>
      </c>
      <c r="R201" s="12" t="s">
        <v>573</v>
      </c>
      <c r="S201" t="s">
        <v>668</v>
      </c>
      <c r="T201" t="s">
        <v>605</v>
      </c>
      <c r="U201" t="s">
        <v>607</v>
      </c>
      <c r="V201" t="s">
        <v>726</v>
      </c>
      <c r="W201" s="12">
        <v>-3.3021449999999968</v>
      </c>
      <c r="X201" s="12">
        <v>5.5</v>
      </c>
      <c r="Y201" s="12">
        <v>-16.399999999999999</v>
      </c>
      <c r="Z201" s="12">
        <v>-2.9000000000000021</v>
      </c>
      <c r="AA201" s="12">
        <v>-8</v>
      </c>
      <c r="AB201" s="10">
        <f t="shared" si="3"/>
        <v>3.7881507964326895</v>
      </c>
      <c r="AD201" s="12"/>
      <c r="AE201" s="12"/>
      <c r="AF201" s="12"/>
      <c r="AG201" s="12"/>
      <c r="AH201" s="12"/>
    </row>
    <row r="202" spans="1:34" x14ac:dyDescent="0.25">
      <c r="A202" t="s">
        <v>400</v>
      </c>
      <c r="B202" s="2"/>
      <c r="C202" s="2"/>
      <c r="D202" s="8" t="s">
        <v>741</v>
      </c>
      <c r="E202" t="s">
        <v>401</v>
      </c>
      <c r="F202" s="9">
        <v>57.575000000000003</v>
      </c>
      <c r="G202" s="9">
        <v>13565</v>
      </c>
      <c r="H202" s="9">
        <v>514.5</v>
      </c>
      <c r="I202" s="9">
        <v>7643</v>
      </c>
      <c r="J202" s="9">
        <v>1.9426563936981194</v>
      </c>
      <c r="K202" s="9">
        <v>0.97620924306438162</v>
      </c>
      <c r="L202" s="9">
        <v>18.666597842135026</v>
      </c>
      <c r="M202" s="9">
        <v>6479.481074900983</v>
      </c>
      <c r="N202" s="9">
        <v>154.96047883250748</v>
      </c>
      <c r="O202" s="9">
        <v>4859.4281042114408</v>
      </c>
      <c r="P202" s="9">
        <v>0.27524084096220347</v>
      </c>
      <c r="Q202" s="9">
        <v>0.13831198038301681</v>
      </c>
      <c r="R202" s="12" t="s">
        <v>587</v>
      </c>
      <c r="S202" t="s">
        <v>677</v>
      </c>
      <c r="T202" t="s">
        <v>630</v>
      </c>
      <c r="U202" t="s">
        <v>631</v>
      </c>
      <c r="V202" t="s">
        <v>721</v>
      </c>
      <c r="W202" s="12">
        <v>-3.7230100000000093</v>
      </c>
      <c r="X202" s="12">
        <v>3.2</v>
      </c>
      <c r="Y202" s="12">
        <v>-20.599999999999998</v>
      </c>
      <c r="Z202" s="12">
        <v>0</v>
      </c>
      <c r="AA202" s="12">
        <v>-9.1</v>
      </c>
      <c r="AB202" s="10">
        <f t="shared" si="3"/>
        <v>2.7064088191389315</v>
      </c>
      <c r="AD202" s="12"/>
      <c r="AE202" s="12"/>
      <c r="AF202" s="12"/>
      <c r="AG202" s="12"/>
      <c r="AH202" s="12"/>
    </row>
    <row r="203" spans="1:34" x14ac:dyDescent="0.25">
      <c r="A203" t="s">
        <v>402</v>
      </c>
      <c r="B203" s="2"/>
      <c r="C203" s="2"/>
      <c r="D203" s="8" t="s">
        <v>741</v>
      </c>
      <c r="E203" t="s">
        <v>403</v>
      </c>
      <c r="F203" s="9">
        <v>41.466666666666669</v>
      </c>
      <c r="G203" s="9">
        <v>10281.666666666666</v>
      </c>
      <c r="H203" s="9">
        <v>449.33333333333331</v>
      </c>
      <c r="I203" s="9">
        <v>5523</v>
      </c>
      <c r="J203" s="9">
        <v>1.9157368974282398</v>
      </c>
      <c r="K203" s="9">
        <v>0.96268185800414063</v>
      </c>
      <c r="L203" s="9">
        <v>18.990085132335057</v>
      </c>
      <c r="M203" s="9">
        <v>1856.4773990903695</v>
      </c>
      <c r="N203" s="9">
        <v>113.51798682734518</v>
      </c>
      <c r="O203" s="9">
        <v>1695.0763994581482</v>
      </c>
      <c r="P203" s="9">
        <v>0.31415073127791487</v>
      </c>
      <c r="Q203" s="9">
        <v>0.15786468908437934</v>
      </c>
      <c r="R203" s="12" t="s">
        <v>587</v>
      </c>
      <c r="S203" t="s">
        <v>600</v>
      </c>
      <c r="T203" t="s">
        <v>579</v>
      </c>
      <c r="U203" t="s">
        <v>583</v>
      </c>
      <c r="V203" t="s">
        <v>723</v>
      </c>
      <c r="W203" s="12">
        <v>-2.220554999999993</v>
      </c>
      <c r="X203" s="12">
        <v>3.4</v>
      </c>
      <c r="Y203" s="12">
        <v>-11.6</v>
      </c>
      <c r="Z203" s="12">
        <v>0</v>
      </c>
      <c r="AA203" s="12">
        <v>-7</v>
      </c>
      <c r="AB203" s="10">
        <f t="shared" si="3"/>
        <v>2.3094340588400009</v>
      </c>
      <c r="AD203" s="12"/>
      <c r="AE203" s="12"/>
      <c r="AF203" s="12"/>
      <c r="AG203" s="12"/>
      <c r="AH203" s="12"/>
    </row>
    <row r="204" spans="1:34" x14ac:dyDescent="0.25">
      <c r="A204" t="s">
        <v>404</v>
      </c>
      <c r="B204" s="2"/>
      <c r="C204" s="2"/>
      <c r="D204" s="8" t="s">
        <v>741</v>
      </c>
      <c r="E204" t="s">
        <v>405</v>
      </c>
      <c r="F204" s="9">
        <v>43.366666666666674</v>
      </c>
      <c r="G204" s="9">
        <v>17633.333333333332</v>
      </c>
      <c r="H204" s="9">
        <v>825</v>
      </c>
      <c r="I204" s="9">
        <v>9519.6666666666661</v>
      </c>
      <c r="J204" s="9">
        <v>1.9148939365941873</v>
      </c>
      <c r="K204" s="9">
        <v>0.96225825959506894</v>
      </c>
      <c r="L204" s="9">
        <v>15.539269252088035</v>
      </c>
      <c r="M204" s="9">
        <v>5228.3415683709454</v>
      </c>
      <c r="N204" s="9">
        <v>414.06843234744019</v>
      </c>
      <c r="O204" s="9">
        <v>3733.7597077952883</v>
      </c>
      <c r="P204" s="9">
        <v>0.17229452701700715</v>
      </c>
      <c r="Q204" s="9">
        <v>8.6580164330154349E-2</v>
      </c>
      <c r="R204" s="12" t="s">
        <v>587</v>
      </c>
      <c r="S204" t="s">
        <v>629</v>
      </c>
      <c r="T204" t="s">
        <v>630</v>
      </c>
      <c r="U204" t="s">
        <v>631</v>
      </c>
      <c r="V204" t="s">
        <v>734</v>
      </c>
      <c r="W204" s="12">
        <v>-3.3010150000000138</v>
      </c>
      <c r="X204" s="12">
        <v>3.2</v>
      </c>
      <c r="Y204" s="12">
        <v>-18.599999999999998</v>
      </c>
      <c r="Z204" s="12">
        <v>-1.0000000000000036</v>
      </c>
      <c r="AA204" s="12">
        <v>-9.1</v>
      </c>
      <c r="AB204" s="10">
        <f t="shared" si="3"/>
        <v>4.0754237584408539</v>
      </c>
      <c r="AD204" s="12"/>
      <c r="AE204" s="12"/>
      <c r="AF204" s="12"/>
      <c r="AG204" s="12"/>
      <c r="AH204" s="12"/>
    </row>
    <row r="205" spans="1:34" x14ac:dyDescent="0.25">
      <c r="A205" t="s">
        <v>406</v>
      </c>
      <c r="B205" s="2"/>
      <c r="C205" s="2"/>
      <c r="D205" s="8" t="s">
        <v>741</v>
      </c>
      <c r="E205" t="s">
        <v>407</v>
      </c>
      <c r="F205" s="9">
        <v>43.866666666666667</v>
      </c>
      <c r="G205" s="9">
        <v>17500</v>
      </c>
      <c r="H205" s="9">
        <v>1448.3333333333333</v>
      </c>
      <c r="I205" s="9">
        <v>9456.3333333333339</v>
      </c>
      <c r="J205" s="9">
        <v>1.8903569232690316</v>
      </c>
      <c r="K205" s="9">
        <v>0.94992810214524204</v>
      </c>
      <c r="L205" s="9">
        <v>15.98777310599851</v>
      </c>
      <c r="M205" s="9">
        <v>4966.55480858378</v>
      </c>
      <c r="N205" s="9">
        <v>856.37076601720173</v>
      </c>
      <c r="O205" s="9">
        <v>3263.5136824526348</v>
      </c>
      <c r="P205" s="9">
        <v>0.14051938380858614</v>
      </c>
      <c r="Q205" s="9">
        <v>7.0612755682706599E-2</v>
      </c>
      <c r="R205" s="12" t="s">
        <v>587</v>
      </c>
      <c r="S205" t="s">
        <v>636</v>
      </c>
      <c r="T205" t="s">
        <v>575</v>
      </c>
      <c r="U205" t="s">
        <v>631</v>
      </c>
      <c r="V205" t="s">
        <v>734</v>
      </c>
      <c r="W205" s="12">
        <v>-3.3010150000000138</v>
      </c>
      <c r="X205" s="12">
        <v>3.4</v>
      </c>
      <c r="Y205" s="12">
        <v>-14.299999999999999</v>
      </c>
      <c r="Z205" s="12">
        <v>-1.0000000000000018</v>
      </c>
      <c r="AA205" s="12">
        <v>-10</v>
      </c>
      <c r="AB205" s="10">
        <f t="shared" si="3"/>
        <v>5.2845754697526806</v>
      </c>
      <c r="AD205" s="12"/>
      <c r="AE205" s="12"/>
      <c r="AF205" s="12"/>
      <c r="AG205" s="12"/>
      <c r="AH205" s="12"/>
    </row>
    <row r="206" spans="1:34" x14ac:dyDescent="0.25">
      <c r="A206" t="s">
        <v>408</v>
      </c>
      <c r="B206" s="2"/>
      <c r="C206" s="2"/>
      <c r="D206" s="8" t="s">
        <v>741</v>
      </c>
      <c r="E206" t="s">
        <v>409</v>
      </c>
      <c r="F206" s="9">
        <v>47.9</v>
      </c>
      <c r="G206" s="9">
        <v>19550</v>
      </c>
      <c r="H206" s="9">
        <v>3097</v>
      </c>
      <c r="I206" s="9">
        <v>10634</v>
      </c>
      <c r="J206" s="9">
        <v>1.8529160334346506</v>
      </c>
      <c r="K206" s="9">
        <v>0.93111358464052796</v>
      </c>
      <c r="L206" s="9">
        <v>18.199999999999996</v>
      </c>
      <c r="M206" s="9">
        <v>5950</v>
      </c>
      <c r="N206" s="9">
        <v>285</v>
      </c>
      <c r="O206" s="9">
        <v>3466</v>
      </c>
      <c r="P206" s="9">
        <v>4.4405395136778103E-2</v>
      </c>
      <c r="Q206" s="9">
        <v>2.2314268912953822E-2</v>
      </c>
      <c r="R206" s="12" t="s">
        <v>587</v>
      </c>
      <c r="S206" t="s">
        <v>632</v>
      </c>
      <c r="T206" t="s">
        <v>633</v>
      </c>
      <c r="U206" t="s">
        <v>631</v>
      </c>
      <c r="V206" t="s">
        <v>734</v>
      </c>
      <c r="W206" s="12">
        <v>-3.3010150000000138</v>
      </c>
      <c r="X206" s="12">
        <v>3.4</v>
      </c>
      <c r="Y206" s="12">
        <v>-14.799999999999999</v>
      </c>
      <c r="Z206" s="12">
        <v>-2.2000000000000011</v>
      </c>
      <c r="AA206" s="12">
        <v>-9.1</v>
      </c>
      <c r="AB206" s="10">
        <f t="shared" si="3"/>
        <v>5.7897941221972831</v>
      </c>
      <c r="AD206" s="12"/>
      <c r="AE206" s="12"/>
      <c r="AF206" s="12"/>
      <c r="AG206" s="12"/>
      <c r="AH206" s="12"/>
    </row>
    <row r="207" spans="1:34" x14ac:dyDescent="0.25">
      <c r="A207" t="s">
        <v>410</v>
      </c>
      <c r="B207" s="2"/>
      <c r="C207" s="2"/>
      <c r="D207" s="8" t="s">
        <v>741</v>
      </c>
      <c r="E207" t="s">
        <v>411</v>
      </c>
      <c r="F207" s="9">
        <v>42.766666666666673</v>
      </c>
      <c r="G207" s="9">
        <v>13933.333333333334</v>
      </c>
      <c r="H207" s="9">
        <v>365.66666666666669</v>
      </c>
      <c r="I207" s="9">
        <v>7696.333333333333</v>
      </c>
      <c r="J207" s="9">
        <v>1.8430030480501507</v>
      </c>
      <c r="K207" s="9">
        <v>0.92613218494982452</v>
      </c>
      <c r="L207" s="9">
        <v>13.77909043926096</v>
      </c>
      <c r="M207" s="9">
        <v>2358.6719427112607</v>
      </c>
      <c r="N207" s="9">
        <v>73.104947393000316</v>
      </c>
      <c r="O207" s="9">
        <v>2105.2601581118965</v>
      </c>
      <c r="P207" s="9">
        <v>0.19894856412568729</v>
      </c>
      <c r="Q207" s="9">
        <v>9.9974152826978538E-2</v>
      </c>
      <c r="R207" s="12" t="s">
        <v>587</v>
      </c>
      <c r="S207" t="s">
        <v>599</v>
      </c>
      <c r="T207" t="s">
        <v>592</v>
      </c>
      <c r="U207" t="s">
        <v>583</v>
      </c>
      <c r="V207" t="s">
        <v>723</v>
      </c>
      <c r="W207" s="12">
        <v>-2.220554999999993</v>
      </c>
      <c r="X207" s="12">
        <v>5</v>
      </c>
      <c r="Y207" s="12">
        <v>-18.8</v>
      </c>
      <c r="Z207" s="12">
        <v>0</v>
      </c>
      <c r="AA207" s="12">
        <v>-7</v>
      </c>
      <c r="AB207" s="10">
        <f t="shared" si="3"/>
        <v>2.1508205048672266</v>
      </c>
      <c r="AD207" s="12"/>
      <c r="AE207" s="12"/>
      <c r="AF207" s="12"/>
      <c r="AG207" s="12"/>
      <c r="AH207" s="12"/>
    </row>
    <row r="208" spans="1:34" x14ac:dyDescent="0.25">
      <c r="A208" t="s">
        <v>412</v>
      </c>
      <c r="B208" s="2"/>
      <c r="C208" s="2"/>
      <c r="D208" s="8" t="s">
        <v>741</v>
      </c>
      <c r="E208" t="s">
        <v>413</v>
      </c>
      <c r="F208" s="9">
        <v>53.95</v>
      </c>
      <c r="G208" s="9">
        <v>15050</v>
      </c>
      <c r="H208" s="9">
        <v>418</v>
      </c>
      <c r="I208" s="9">
        <v>9993.5</v>
      </c>
      <c r="J208" s="9">
        <v>1.8198469353652831</v>
      </c>
      <c r="K208" s="9">
        <v>0.91449594741974027</v>
      </c>
      <c r="L208" s="9">
        <v>37.405948724768365</v>
      </c>
      <c r="M208" s="9">
        <v>4030.5086527633207</v>
      </c>
      <c r="N208" s="9">
        <v>67.882250993908556</v>
      </c>
      <c r="O208" s="9">
        <v>7080.2602000209008</v>
      </c>
      <c r="P208" s="9">
        <v>0.88602403300480337</v>
      </c>
      <c r="Q208" s="9">
        <v>0.44523820754010218</v>
      </c>
      <c r="R208" s="12" t="s">
        <v>587</v>
      </c>
      <c r="S208" t="s">
        <v>593</v>
      </c>
      <c r="T208" t="s">
        <v>579</v>
      </c>
      <c r="U208" t="s">
        <v>583</v>
      </c>
      <c r="V208" t="s">
        <v>736</v>
      </c>
      <c r="W208" s="12">
        <v>-3.7121000000000057</v>
      </c>
      <c r="X208" s="12">
        <v>3.4</v>
      </c>
      <c r="Y208" s="12">
        <v>-14.299999999999999</v>
      </c>
      <c r="Z208" s="12">
        <v>-0.60000000000000142</v>
      </c>
      <c r="AA208" s="12">
        <v>-9</v>
      </c>
      <c r="AB208" s="10">
        <f t="shared" si="3"/>
        <v>3.0883070433648743</v>
      </c>
      <c r="AD208" s="12"/>
      <c r="AE208" s="12"/>
      <c r="AF208" s="12"/>
      <c r="AG208" s="12"/>
      <c r="AH208" s="12"/>
    </row>
    <row r="209" spans="1:34" x14ac:dyDescent="0.25">
      <c r="A209" t="s">
        <v>414</v>
      </c>
      <c r="B209" s="2"/>
      <c r="C209" s="2"/>
      <c r="D209" s="8" t="s">
        <v>741</v>
      </c>
      <c r="E209" t="s">
        <v>415</v>
      </c>
      <c r="F209" s="9">
        <v>51.3</v>
      </c>
      <c r="G209" s="9">
        <v>13700</v>
      </c>
      <c r="H209" s="9">
        <v>296.5</v>
      </c>
      <c r="I209" s="9">
        <v>7746</v>
      </c>
      <c r="J209" s="9">
        <v>1.7647012561958348</v>
      </c>
      <c r="K209" s="9">
        <v>0.88678455085217833</v>
      </c>
      <c r="L209" s="9">
        <v>3.8183766184073553</v>
      </c>
      <c r="M209" s="9">
        <v>1838.4776310850236</v>
      </c>
      <c r="N209" s="9">
        <v>24.748737341529164</v>
      </c>
      <c r="O209" s="9">
        <v>470.93311627024065</v>
      </c>
      <c r="P209" s="9">
        <v>0.13005698027610516</v>
      </c>
      <c r="Q209" s="9">
        <v>6.5355266470404599E-2</v>
      </c>
      <c r="R209" s="12" t="s">
        <v>587</v>
      </c>
      <c r="S209" t="s">
        <v>594</v>
      </c>
      <c r="T209" t="s">
        <v>592</v>
      </c>
      <c r="U209" t="s">
        <v>583</v>
      </c>
      <c r="V209" t="s">
        <v>731</v>
      </c>
      <c r="W209" s="12">
        <v>-3.0109699999999937</v>
      </c>
      <c r="X209" s="12">
        <v>0.8</v>
      </c>
      <c r="Y209" s="12">
        <v>-22.5</v>
      </c>
      <c r="Z209" s="12">
        <v>0</v>
      </c>
      <c r="AA209" s="12">
        <v>-8.1</v>
      </c>
      <c r="AB209" s="10">
        <f t="shared" si="3"/>
        <v>2.6114740194011148</v>
      </c>
      <c r="AD209" s="12"/>
      <c r="AE209" s="12"/>
      <c r="AF209" s="12"/>
      <c r="AG209" s="12"/>
      <c r="AH209" s="12"/>
    </row>
    <row r="210" spans="1:34" x14ac:dyDescent="0.25">
      <c r="A210" t="s">
        <v>416</v>
      </c>
      <c r="B210" s="2"/>
      <c r="C210" s="2"/>
      <c r="D210" s="8" t="s">
        <v>741</v>
      </c>
      <c r="E210" t="s">
        <v>417</v>
      </c>
      <c r="F210" s="9">
        <v>46.199999999999996</v>
      </c>
      <c r="G210" s="9">
        <v>16433.333333333332</v>
      </c>
      <c r="H210" s="9">
        <v>255</v>
      </c>
      <c r="I210" s="9">
        <v>9867</v>
      </c>
      <c r="J210" s="9">
        <v>1.7400124850703758</v>
      </c>
      <c r="K210" s="9">
        <v>0.87437813320119384</v>
      </c>
      <c r="L210" s="9">
        <v>9.5036834964133838</v>
      </c>
      <c r="M210" s="9">
        <v>3514.0985883849203</v>
      </c>
      <c r="N210" s="9">
        <v>93.491532593420814</v>
      </c>
      <c r="O210" s="9">
        <v>3392.5454553574764</v>
      </c>
      <c r="P210" s="9">
        <v>0.24850238219637608</v>
      </c>
      <c r="Q210" s="9">
        <v>0.12487556894290255</v>
      </c>
      <c r="R210" s="12" t="s">
        <v>587</v>
      </c>
      <c r="S210" t="s">
        <v>637</v>
      </c>
      <c r="T210" t="s">
        <v>638</v>
      </c>
      <c r="U210" t="s">
        <v>607</v>
      </c>
      <c r="V210" t="s">
        <v>721</v>
      </c>
      <c r="W210" s="12">
        <v>-3.7230100000000093</v>
      </c>
      <c r="X210" s="12">
        <v>4.5999999999999996</v>
      </c>
      <c r="Y210" s="12">
        <v>-20.5</v>
      </c>
      <c r="Z210" s="12">
        <v>0</v>
      </c>
      <c r="AA210" s="12">
        <v>-7.5</v>
      </c>
      <c r="AB210" s="10">
        <f t="shared" si="3"/>
        <v>1.7923234459562902</v>
      </c>
      <c r="AD210" s="12"/>
      <c r="AE210" s="12"/>
      <c r="AF210" s="12"/>
      <c r="AG210" s="12"/>
      <c r="AH210" s="12"/>
    </row>
    <row r="211" spans="1:34" x14ac:dyDescent="0.25">
      <c r="A211" t="s">
        <v>418</v>
      </c>
      <c r="B211" s="2"/>
      <c r="C211" s="2"/>
      <c r="D211" s="8" t="s">
        <v>741</v>
      </c>
      <c r="E211" t="s">
        <v>419</v>
      </c>
      <c r="F211" s="9">
        <v>49.550000000000004</v>
      </c>
      <c r="G211" s="9">
        <v>16570.25</v>
      </c>
      <c r="H211" s="9">
        <v>401.5</v>
      </c>
      <c r="I211" s="9">
        <v>12218.5</v>
      </c>
      <c r="J211" s="9">
        <v>1.7311008855803767</v>
      </c>
      <c r="K211" s="9">
        <v>0.86989994250270186</v>
      </c>
      <c r="L211" s="9">
        <v>11.393967702253649</v>
      </c>
      <c r="M211" s="9">
        <v>5914.9222469530405</v>
      </c>
      <c r="N211" s="9">
        <v>47.130138977091931</v>
      </c>
      <c r="O211" s="9">
        <v>7714.0603283873788</v>
      </c>
      <c r="P211" s="9">
        <v>0.72348577973360095</v>
      </c>
      <c r="Q211" s="9">
        <v>0.3635606933334678</v>
      </c>
      <c r="R211" s="12" t="s">
        <v>587</v>
      </c>
      <c r="S211" t="s">
        <v>619</v>
      </c>
      <c r="T211" t="s">
        <v>579</v>
      </c>
      <c r="U211" t="s">
        <v>607</v>
      </c>
      <c r="V211" t="s">
        <v>735</v>
      </c>
      <c r="W211" s="12">
        <v>-3.1192499999999925</v>
      </c>
      <c r="X211" s="12">
        <v>4.5999999999999996</v>
      </c>
      <c r="Y211" s="12">
        <v>-13.1</v>
      </c>
      <c r="Z211" s="12">
        <v>0</v>
      </c>
      <c r="AA211" s="12">
        <v>-10</v>
      </c>
      <c r="AB211" s="10">
        <f t="shared" si="3"/>
        <v>3.6902138630167873</v>
      </c>
      <c r="AD211" s="12"/>
      <c r="AE211" s="12"/>
      <c r="AF211" s="12"/>
      <c r="AG211" s="12"/>
      <c r="AH211" s="12"/>
    </row>
    <row r="212" spans="1:34" x14ac:dyDescent="0.25">
      <c r="A212" t="s">
        <v>420</v>
      </c>
      <c r="B212" s="2"/>
      <c r="C212" s="2"/>
      <c r="D212" s="8" t="s">
        <v>741</v>
      </c>
      <c r="E212" t="s">
        <v>421</v>
      </c>
      <c r="F212" s="9">
        <v>54.8</v>
      </c>
      <c r="G212" s="9">
        <v>12443</v>
      </c>
      <c r="H212" s="9">
        <v>408.65</v>
      </c>
      <c r="I212" s="9">
        <v>10437</v>
      </c>
      <c r="J212" s="9">
        <v>1.7214353678260839</v>
      </c>
      <c r="K212" s="9">
        <v>0.86504289840506732</v>
      </c>
      <c r="L212" s="9">
        <v>12.430004022525518</v>
      </c>
      <c r="M212" s="9">
        <v>5385.8097812678088</v>
      </c>
      <c r="N212" s="9">
        <v>265.59624903224824</v>
      </c>
      <c r="O212" s="9">
        <v>7616.2386385931995</v>
      </c>
      <c r="P212" s="9">
        <v>0.84045009414329297</v>
      </c>
      <c r="Q212" s="9">
        <v>0.42233673072527284</v>
      </c>
      <c r="R212" s="12" t="s">
        <v>587</v>
      </c>
      <c r="S212" t="s">
        <v>678</v>
      </c>
      <c r="T212" t="s">
        <v>679</v>
      </c>
      <c r="U212" t="s">
        <v>572</v>
      </c>
      <c r="V212" t="s">
        <v>711</v>
      </c>
      <c r="W212" s="12">
        <v>-0.63561500000000526</v>
      </c>
      <c r="X212" s="12">
        <v>4.5</v>
      </c>
      <c r="Y212" s="12">
        <v>-15.299999999999997</v>
      </c>
      <c r="Z212" s="12">
        <v>-0.50000000000000355</v>
      </c>
      <c r="AA212" s="12">
        <v>-7.5</v>
      </c>
      <c r="AB212" s="10">
        <f t="shared" si="3"/>
        <v>4.2376836386986607</v>
      </c>
      <c r="AD212" s="12"/>
      <c r="AE212" s="12"/>
      <c r="AF212" s="12"/>
      <c r="AG212" s="12"/>
      <c r="AH212" s="12"/>
    </row>
    <row r="213" spans="1:34" x14ac:dyDescent="0.25">
      <c r="A213" t="s">
        <v>422</v>
      </c>
      <c r="B213" s="2"/>
      <c r="C213" s="2"/>
      <c r="D213" s="8" t="s">
        <v>741</v>
      </c>
      <c r="E213" t="s">
        <v>423</v>
      </c>
      <c r="F213" s="9">
        <v>45.866666666666667</v>
      </c>
      <c r="G213" s="9">
        <v>11733.333333333334</v>
      </c>
      <c r="H213" s="9">
        <v>257</v>
      </c>
      <c r="I213" s="9">
        <v>6986</v>
      </c>
      <c r="J213" s="9">
        <v>1.6870757152703284</v>
      </c>
      <c r="K213" s="9">
        <v>0.84777674134187353</v>
      </c>
      <c r="L213" s="9">
        <v>7.762302064035743</v>
      </c>
      <c r="M213" s="9">
        <v>1137.2481406154654</v>
      </c>
      <c r="N213" s="9">
        <v>65.138314377945022</v>
      </c>
      <c r="O213" s="9">
        <v>908.60277349345574</v>
      </c>
      <c r="P213" s="9">
        <v>0.11859375989151139</v>
      </c>
      <c r="Q213" s="9">
        <v>5.9594854216839896E-2</v>
      </c>
      <c r="R213" s="12" t="s">
        <v>587</v>
      </c>
      <c r="S213" t="s">
        <v>599</v>
      </c>
      <c r="T213" t="s">
        <v>592</v>
      </c>
      <c r="U213" t="s">
        <v>583</v>
      </c>
      <c r="V213" t="s">
        <v>731</v>
      </c>
      <c r="W213" s="12">
        <v>-3.0109699999999937</v>
      </c>
      <c r="X213" s="12">
        <v>5</v>
      </c>
      <c r="Y213" s="12">
        <v>-18.8</v>
      </c>
      <c r="Z213" s="12">
        <v>-0.59999999999999787</v>
      </c>
      <c r="AA213" s="12">
        <v>-7</v>
      </c>
      <c r="AB213" s="10">
        <f t="shared" si="3"/>
        <v>2.0664384053556022</v>
      </c>
      <c r="AD213" s="12"/>
      <c r="AE213" s="12"/>
      <c r="AF213" s="12"/>
      <c r="AG213" s="12"/>
      <c r="AH213" s="12"/>
    </row>
    <row r="214" spans="1:34" x14ac:dyDescent="0.25">
      <c r="A214" t="s">
        <v>424</v>
      </c>
      <c r="B214" s="2"/>
      <c r="C214" s="2"/>
      <c r="D214" s="8" t="s">
        <v>741</v>
      </c>
      <c r="E214" t="s">
        <v>425</v>
      </c>
      <c r="F214" s="9">
        <v>39.75</v>
      </c>
      <c r="G214" s="9">
        <v>9135.5</v>
      </c>
      <c r="H214" s="9">
        <v>261.5</v>
      </c>
      <c r="I214" s="9">
        <v>6092.5</v>
      </c>
      <c r="J214" s="9">
        <v>1.6867049651210504</v>
      </c>
      <c r="K214" s="9">
        <v>0.84759043473419615</v>
      </c>
      <c r="L214" s="9">
        <v>4.3500000000000147</v>
      </c>
      <c r="M214" s="9">
        <v>4264.5</v>
      </c>
      <c r="N214" s="9">
        <v>56.5</v>
      </c>
      <c r="O214" s="9">
        <v>3655.5</v>
      </c>
      <c r="P214" s="9">
        <v>0.3120640131308986</v>
      </c>
      <c r="Q214" s="9">
        <v>0.15681608700045155</v>
      </c>
      <c r="R214" s="12" t="s">
        <v>587</v>
      </c>
      <c r="S214" t="s">
        <v>642</v>
      </c>
      <c r="T214" t="s">
        <v>643</v>
      </c>
      <c r="U214" t="s">
        <v>607</v>
      </c>
      <c r="V214" t="s">
        <v>735</v>
      </c>
      <c r="W214" s="12">
        <v>-3.1192499999999925</v>
      </c>
      <c r="X214" s="12">
        <v>4.5999999999999996</v>
      </c>
      <c r="Y214" s="12">
        <v>-15.199999999999998</v>
      </c>
      <c r="Z214" s="12">
        <v>0</v>
      </c>
      <c r="AA214" s="12">
        <v>-7.5</v>
      </c>
      <c r="AB214" s="10">
        <f t="shared" si="3"/>
        <v>2.0197468891890047</v>
      </c>
      <c r="AD214" s="12"/>
      <c r="AE214" s="12"/>
      <c r="AF214" s="12"/>
      <c r="AG214" s="12"/>
      <c r="AH214" s="12"/>
    </row>
    <row r="215" spans="1:34" x14ac:dyDescent="0.25">
      <c r="A215" t="s">
        <v>426</v>
      </c>
      <c r="B215" s="2"/>
      <c r="C215" s="2"/>
      <c r="D215" s="8" t="s">
        <v>741</v>
      </c>
      <c r="E215" t="s">
        <v>427</v>
      </c>
      <c r="F215" s="9">
        <v>35.866666666666667</v>
      </c>
      <c r="G215" s="9">
        <v>10973.666666666666</v>
      </c>
      <c r="H215" s="9">
        <v>816.66666666666663</v>
      </c>
      <c r="I215" s="9">
        <v>6704</v>
      </c>
      <c r="J215" s="9">
        <v>1.6842436909746661</v>
      </c>
      <c r="K215" s="9">
        <v>0.84635361355510863</v>
      </c>
      <c r="L215" s="9">
        <v>8.7716715751458896</v>
      </c>
      <c r="M215" s="9">
        <v>1463.8488841255287</v>
      </c>
      <c r="N215" s="9">
        <v>483.30827521250751</v>
      </c>
      <c r="O215" s="9">
        <v>1529.7903995863833</v>
      </c>
      <c r="P215" s="9">
        <v>0.21811668048166885</v>
      </c>
      <c r="Q215" s="9">
        <v>0.10960637210134114</v>
      </c>
      <c r="R215" s="12" t="s">
        <v>587</v>
      </c>
      <c r="S215" t="s">
        <v>680</v>
      </c>
      <c r="T215" t="s">
        <v>681</v>
      </c>
      <c r="U215" t="s">
        <v>572</v>
      </c>
      <c r="V215" t="s">
        <v>734</v>
      </c>
      <c r="W215" s="12">
        <v>-3.3010150000000138</v>
      </c>
      <c r="X215" s="12">
        <v>4.5</v>
      </c>
      <c r="Y215" s="12">
        <v>-20.599999999999998</v>
      </c>
      <c r="Z215" s="12">
        <v>-2.2000000000000028</v>
      </c>
      <c r="AA215" s="12">
        <v>-7.5</v>
      </c>
      <c r="AB215" s="10">
        <f t="shared" si="3"/>
        <v>3.2913147180316917</v>
      </c>
      <c r="AD215" s="12"/>
      <c r="AE215" s="12"/>
      <c r="AF215" s="12"/>
      <c r="AG215" s="12"/>
      <c r="AH215" s="12"/>
    </row>
    <row r="216" spans="1:34" x14ac:dyDescent="0.25">
      <c r="A216" t="s">
        <v>428</v>
      </c>
      <c r="B216" s="2"/>
      <c r="C216" s="2"/>
      <c r="D216" s="8" t="s">
        <v>741</v>
      </c>
      <c r="E216" t="s">
        <v>429</v>
      </c>
      <c r="F216" s="9">
        <v>35.700000000000003</v>
      </c>
      <c r="G216" s="9">
        <v>10216.5</v>
      </c>
      <c r="H216" s="9">
        <v>257.5</v>
      </c>
      <c r="I216" s="9">
        <v>6448.5</v>
      </c>
      <c r="J216" s="9">
        <v>1.6795901536523941</v>
      </c>
      <c r="K216" s="9">
        <v>0.84401515258914273</v>
      </c>
      <c r="L216" s="9">
        <v>17.253405460951743</v>
      </c>
      <c r="M216" s="9">
        <v>400.92954493277244</v>
      </c>
      <c r="N216" s="9">
        <v>4.9497474683058327</v>
      </c>
      <c r="O216" s="9">
        <v>2294.5615049503467</v>
      </c>
      <c r="P216" s="9">
        <v>0.53547233709105146</v>
      </c>
      <c r="Q216" s="9">
        <v>0.26908157642766406</v>
      </c>
      <c r="R216" s="12" t="s">
        <v>587</v>
      </c>
      <c r="S216" t="s">
        <v>609</v>
      </c>
      <c r="T216" t="s">
        <v>586</v>
      </c>
      <c r="U216" t="s">
        <v>583</v>
      </c>
      <c r="V216" t="s">
        <v>731</v>
      </c>
      <c r="W216" s="12">
        <v>-3.0109699999999937</v>
      </c>
      <c r="X216" s="12">
        <v>3.4</v>
      </c>
      <c r="Y216" s="12">
        <v>-6</v>
      </c>
      <c r="Z216" s="12">
        <v>-0.59999999999999964</v>
      </c>
      <c r="AA216" s="12">
        <v>-7</v>
      </c>
      <c r="AB216" s="10">
        <f t="shared" si="3"/>
        <v>2.2068958466565851</v>
      </c>
      <c r="AD216" s="12"/>
      <c r="AE216" s="12"/>
      <c r="AF216" s="12"/>
      <c r="AG216" s="12"/>
      <c r="AH216" s="12"/>
    </row>
    <row r="217" spans="1:34" x14ac:dyDescent="0.25">
      <c r="A217" t="s">
        <v>430</v>
      </c>
      <c r="B217" s="2"/>
      <c r="C217" s="2"/>
      <c r="D217" s="8" t="s">
        <v>741</v>
      </c>
      <c r="E217" t="s">
        <v>431</v>
      </c>
      <c r="F217" s="9">
        <v>41</v>
      </c>
      <c r="G217" s="9">
        <v>13233.333333333334</v>
      </c>
      <c r="H217" s="9">
        <v>1189</v>
      </c>
      <c r="I217" s="9">
        <v>7893.666666666667</v>
      </c>
      <c r="J217" s="9">
        <v>1.673932667702636</v>
      </c>
      <c r="K217" s="9">
        <v>0.84117219482544525</v>
      </c>
      <c r="L217" s="9">
        <v>29.019131620363833</v>
      </c>
      <c r="M217" s="9">
        <v>2103.1722072463167</v>
      </c>
      <c r="N217" s="9">
        <v>201.63581031156147</v>
      </c>
      <c r="O217" s="9">
        <v>1095.7232010564203</v>
      </c>
      <c r="P217" s="9">
        <v>5.2294012635192622E-2</v>
      </c>
      <c r="Q217" s="9">
        <v>2.6278398309142022E-2</v>
      </c>
      <c r="R217" s="12" t="s">
        <v>587</v>
      </c>
      <c r="S217" t="s">
        <v>590</v>
      </c>
      <c r="T217" t="s">
        <v>586</v>
      </c>
      <c r="U217" t="s">
        <v>583</v>
      </c>
      <c r="V217" t="s">
        <v>723</v>
      </c>
      <c r="W217" s="12">
        <v>-2.220554999999993</v>
      </c>
      <c r="X217" s="12">
        <v>0.8</v>
      </c>
      <c r="Y217" s="12">
        <v>-11.6</v>
      </c>
      <c r="Z217" s="12">
        <v>0</v>
      </c>
      <c r="AA217" s="12">
        <v>-9</v>
      </c>
      <c r="AB217" s="10">
        <f t="shared" si="3"/>
        <v>4.3977183231242538</v>
      </c>
      <c r="AD217" s="12"/>
      <c r="AE217" s="12"/>
      <c r="AF217" s="12"/>
      <c r="AG217" s="12"/>
      <c r="AH217" s="12"/>
    </row>
    <row r="218" spans="1:34" x14ac:dyDescent="0.25">
      <c r="A218" t="s">
        <v>432</v>
      </c>
      <c r="B218" s="2"/>
      <c r="C218" s="2"/>
      <c r="D218" s="8" t="s">
        <v>741</v>
      </c>
      <c r="E218" t="s">
        <v>433</v>
      </c>
      <c r="F218" s="9">
        <v>46.4</v>
      </c>
      <c r="G218" s="9">
        <v>13833.333333333334</v>
      </c>
      <c r="H218" s="9">
        <v>296.66666666666669</v>
      </c>
      <c r="I218" s="9">
        <v>8870.3333333333339</v>
      </c>
      <c r="J218" s="9">
        <v>1.6576470379467523</v>
      </c>
      <c r="K218" s="9">
        <v>0.83298846127977499</v>
      </c>
      <c r="L218" s="9">
        <v>13.112843576687213</v>
      </c>
      <c r="M218" s="9">
        <v>3627.9777042068799</v>
      </c>
      <c r="N218" s="9">
        <v>124.52665935007205</v>
      </c>
      <c r="O218" s="9">
        <v>3696.6752930467428</v>
      </c>
      <c r="P218" s="9">
        <v>0.24571667520608201</v>
      </c>
      <c r="Q218" s="9">
        <v>0.1234757161839608</v>
      </c>
      <c r="R218" s="12" t="s">
        <v>573</v>
      </c>
      <c r="S218" t="s">
        <v>690</v>
      </c>
      <c r="T218" t="s">
        <v>630</v>
      </c>
      <c r="U218" t="s">
        <v>631</v>
      </c>
      <c r="V218" t="s">
        <v>726</v>
      </c>
      <c r="W218" s="12">
        <v>-3.3021449999999968</v>
      </c>
      <c r="X218" s="12">
        <v>4.7</v>
      </c>
      <c r="Y218" s="12">
        <v>-17.2</v>
      </c>
      <c r="Z218" s="12">
        <v>-2.9000000000000021</v>
      </c>
      <c r="AA218" s="12">
        <v>-8</v>
      </c>
      <c r="AB218" s="10">
        <f t="shared" si="3"/>
        <v>4.3689469488568902</v>
      </c>
      <c r="AD218" s="12"/>
      <c r="AE218" s="12"/>
      <c r="AF218" s="12"/>
      <c r="AG218" s="12"/>
      <c r="AH218" s="12"/>
    </row>
    <row r="219" spans="1:34" x14ac:dyDescent="0.25">
      <c r="A219" t="s">
        <v>434</v>
      </c>
      <c r="B219" s="2"/>
      <c r="C219" s="2"/>
      <c r="D219" s="8" t="s">
        <v>741</v>
      </c>
      <c r="E219" t="s">
        <v>435</v>
      </c>
      <c r="F219" s="9">
        <v>43.833333333333336</v>
      </c>
      <c r="G219" s="9">
        <v>13922.666666666666</v>
      </c>
      <c r="H219" s="9">
        <v>773</v>
      </c>
      <c r="I219" s="9">
        <v>8864.6666666666661</v>
      </c>
      <c r="J219" s="9">
        <v>1.6503333058650087</v>
      </c>
      <c r="K219" s="9">
        <v>0.82931321902764255</v>
      </c>
      <c r="L219" s="9">
        <v>31.845617176203902</v>
      </c>
      <c r="M219" s="9">
        <v>4023.1755285263548</v>
      </c>
      <c r="N219" s="9">
        <v>92.601295887260676</v>
      </c>
      <c r="O219" s="9">
        <v>3725.278557817298</v>
      </c>
      <c r="P219" s="9">
        <v>0.29720105293979687</v>
      </c>
      <c r="Q219" s="9">
        <v>0.14934726278381752</v>
      </c>
      <c r="R219" s="12" t="s">
        <v>587</v>
      </c>
      <c r="S219" t="s">
        <v>601</v>
      </c>
      <c r="T219" t="s">
        <v>592</v>
      </c>
      <c r="U219" t="s">
        <v>583</v>
      </c>
      <c r="V219" t="s">
        <v>723</v>
      </c>
      <c r="W219" s="12">
        <v>-2.220554999999993</v>
      </c>
      <c r="X219" s="12">
        <v>5</v>
      </c>
      <c r="Y219" s="12">
        <v>-16.800000000000004</v>
      </c>
      <c r="Z219" s="12">
        <v>0</v>
      </c>
      <c r="AA219" s="12">
        <v>-7</v>
      </c>
      <c r="AB219" s="10">
        <f t="shared" si="3"/>
        <v>2.1508205048672266</v>
      </c>
      <c r="AD219" s="12"/>
      <c r="AE219" s="12"/>
      <c r="AF219" s="12"/>
      <c r="AG219" s="12"/>
      <c r="AH219" s="12"/>
    </row>
    <row r="220" spans="1:34" x14ac:dyDescent="0.25">
      <c r="A220" t="s">
        <v>436</v>
      </c>
      <c r="B220" s="2"/>
      <c r="C220" s="2"/>
      <c r="D220" s="8" t="s">
        <v>741</v>
      </c>
      <c r="E220" t="s">
        <v>437</v>
      </c>
      <c r="F220" s="9">
        <v>47.471428571428575</v>
      </c>
      <c r="G220" s="9">
        <v>15133.142857142857</v>
      </c>
      <c r="H220" s="9">
        <v>1295.1428571428571</v>
      </c>
      <c r="I220" s="9">
        <v>9835.2857142857138</v>
      </c>
      <c r="J220" s="9">
        <v>1.6381226348159257</v>
      </c>
      <c r="K220" s="9">
        <v>0.82317720342508827</v>
      </c>
      <c r="L220" s="9">
        <v>9.7695904703924743</v>
      </c>
      <c r="M220" s="9">
        <v>4650.4029757360486</v>
      </c>
      <c r="N220" s="9">
        <v>691.81922258252837</v>
      </c>
      <c r="O220" s="9">
        <v>4156.4301549109496</v>
      </c>
      <c r="P220" s="9">
        <v>0.27008011936880211</v>
      </c>
      <c r="Q220" s="9">
        <v>0.13571865294914678</v>
      </c>
      <c r="R220" s="12" t="s">
        <v>587</v>
      </c>
      <c r="S220" t="s">
        <v>639</v>
      </c>
      <c r="T220" t="s">
        <v>640</v>
      </c>
      <c r="U220" t="s">
        <v>631</v>
      </c>
      <c r="V220" t="s">
        <v>734</v>
      </c>
      <c r="W220" s="12">
        <v>-3.3010150000000138</v>
      </c>
      <c r="X220" s="12">
        <v>3.4</v>
      </c>
      <c r="Y220" s="12">
        <v>-21.7</v>
      </c>
      <c r="Z220" s="12">
        <v>-2.1999999999999993</v>
      </c>
      <c r="AA220" s="12">
        <v>-7.5</v>
      </c>
      <c r="AB220" s="10">
        <f t="shared" si="3"/>
        <v>3.5748460894579206</v>
      </c>
      <c r="AD220" s="12"/>
      <c r="AE220" s="12"/>
      <c r="AF220" s="12"/>
      <c r="AG220" s="12"/>
      <c r="AH220" s="12"/>
    </row>
    <row r="221" spans="1:34" x14ac:dyDescent="0.25">
      <c r="A221" t="s">
        <v>438</v>
      </c>
      <c r="B221" s="2"/>
      <c r="C221" s="2"/>
      <c r="D221" s="8" t="s">
        <v>741</v>
      </c>
      <c r="E221" t="s">
        <v>439</v>
      </c>
      <c r="F221" s="9">
        <v>51.966666666666661</v>
      </c>
      <c r="G221" s="9">
        <v>13966.666666666666</v>
      </c>
      <c r="H221" s="9">
        <v>353</v>
      </c>
      <c r="I221" s="9">
        <v>9914.3333333333339</v>
      </c>
      <c r="J221" s="9">
        <v>1.6211121638535051</v>
      </c>
      <c r="K221" s="9">
        <v>0.81462922806708804</v>
      </c>
      <c r="L221" s="9">
        <v>16.710575493780407</v>
      </c>
      <c r="M221" s="9">
        <v>3350.124375800593</v>
      </c>
      <c r="N221" s="9">
        <v>47.696960070847283</v>
      </c>
      <c r="O221" s="9">
        <v>4804.000034693312</v>
      </c>
      <c r="P221" s="9">
        <v>0.69511734653871649</v>
      </c>
      <c r="Q221" s="9">
        <v>0.34930519926568665</v>
      </c>
      <c r="R221" s="12" t="s">
        <v>587</v>
      </c>
      <c r="S221" t="s">
        <v>591</v>
      </c>
      <c r="T221" t="s">
        <v>592</v>
      </c>
      <c r="U221" t="s">
        <v>583</v>
      </c>
      <c r="V221" t="s">
        <v>736</v>
      </c>
      <c r="W221" s="12">
        <v>-3.7121000000000057</v>
      </c>
      <c r="X221" s="12">
        <v>5</v>
      </c>
      <c r="Y221" s="12">
        <v>-21.5</v>
      </c>
      <c r="Z221" s="12">
        <v>-0.60000000000000142</v>
      </c>
      <c r="AA221" s="12">
        <v>-9</v>
      </c>
      <c r="AB221" s="10">
        <f t="shared" si="3"/>
        <v>2.7633119772197876</v>
      </c>
      <c r="AD221" s="12"/>
      <c r="AE221" s="12"/>
      <c r="AF221" s="12"/>
      <c r="AG221" s="12"/>
      <c r="AH221" s="12"/>
    </row>
    <row r="222" spans="1:34" x14ac:dyDescent="0.25">
      <c r="A222" t="s">
        <v>440</v>
      </c>
      <c r="B222" s="2"/>
      <c r="C222" s="2"/>
      <c r="D222" s="8" t="s">
        <v>742</v>
      </c>
      <c r="E222" t="s">
        <v>441</v>
      </c>
      <c r="F222" s="9">
        <v>62.349999999999994</v>
      </c>
      <c r="G222" s="9">
        <v>12817</v>
      </c>
      <c r="H222" s="9">
        <v>521</v>
      </c>
      <c r="I222" s="9">
        <v>13651</v>
      </c>
      <c r="J222" s="9">
        <v>1.6089423477914162</v>
      </c>
      <c r="K222" s="9">
        <v>0.80851374260875186</v>
      </c>
      <c r="L222" s="9">
        <v>18.25</v>
      </c>
      <c r="M222" s="9">
        <v>6083</v>
      </c>
      <c r="N222" s="9">
        <v>187</v>
      </c>
      <c r="O222" s="9">
        <v>10849</v>
      </c>
      <c r="P222" s="9">
        <v>0.83751377636284519</v>
      </c>
      <c r="Q222" s="9">
        <v>0.42086119415218354</v>
      </c>
      <c r="R222" s="12" t="s">
        <v>587</v>
      </c>
      <c r="S222" t="s">
        <v>682</v>
      </c>
      <c r="T222" t="s">
        <v>643</v>
      </c>
      <c r="U222" t="s">
        <v>589</v>
      </c>
      <c r="V222" t="s">
        <v>707</v>
      </c>
      <c r="W222" s="12">
        <v>1.6358049999999931</v>
      </c>
      <c r="X222" s="12">
        <v>3.8</v>
      </c>
      <c r="Y222" s="12">
        <v>-15.999999999999996</v>
      </c>
      <c r="Z222" s="12">
        <v>-1.2000000000000028</v>
      </c>
      <c r="AA222" s="12">
        <v>-7.5</v>
      </c>
      <c r="AB222" s="10">
        <f t="shared" si="3"/>
        <v>10.175107883419452</v>
      </c>
      <c r="AD222" s="12"/>
      <c r="AE222" s="12"/>
      <c r="AF222" s="12"/>
      <c r="AG222" s="12"/>
      <c r="AH222" s="12"/>
    </row>
    <row r="223" spans="1:34" x14ac:dyDescent="0.25">
      <c r="A223" t="s">
        <v>442</v>
      </c>
      <c r="B223" s="2"/>
      <c r="C223" s="2"/>
      <c r="D223" s="8" t="s">
        <v>741</v>
      </c>
      <c r="E223" t="s">
        <v>443</v>
      </c>
      <c r="F223" s="9">
        <v>48.133333333333333</v>
      </c>
      <c r="G223" s="9">
        <v>16900</v>
      </c>
      <c r="H223" s="9">
        <v>1606.6666666666667</v>
      </c>
      <c r="I223" s="9">
        <v>10674.666666666666</v>
      </c>
      <c r="J223" s="9">
        <v>1.5859830061201343</v>
      </c>
      <c r="K223" s="9">
        <v>0.79697638498499213</v>
      </c>
      <c r="L223" s="9">
        <v>16.195129583372353</v>
      </c>
      <c r="M223" s="9">
        <v>3367.4916480965471</v>
      </c>
      <c r="N223" s="9">
        <v>791.31002493052972</v>
      </c>
      <c r="O223" s="9">
        <v>2157.4561151710336</v>
      </c>
      <c r="P223" s="9">
        <v>4.6913767051929386E-2</v>
      </c>
      <c r="Q223" s="9">
        <v>2.3574757312527329E-2</v>
      </c>
      <c r="R223" s="12" t="s">
        <v>587</v>
      </c>
      <c r="S223" t="s">
        <v>677</v>
      </c>
      <c r="T223" t="s">
        <v>630</v>
      </c>
      <c r="U223" t="s">
        <v>631</v>
      </c>
      <c r="V223" t="s">
        <v>734</v>
      </c>
      <c r="W223" s="12">
        <v>-3.3010150000000138</v>
      </c>
      <c r="X223" s="12">
        <v>3.2</v>
      </c>
      <c r="Y223" s="12">
        <v>-20.599999999999998</v>
      </c>
      <c r="Z223" s="12">
        <v>-1.0000000000000036</v>
      </c>
      <c r="AA223" s="12">
        <v>-9.1</v>
      </c>
      <c r="AB223" s="10">
        <f t="shared" si="3"/>
        <v>4.0754237584408539</v>
      </c>
      <c r="AD223" s="12"/>
      <c r="AE223" s="12"/>
      <c r="AF223" s="12"/>
      <c r="AG223" s="12"/>
      <c r="AH223" s="12"/>
    </row>
    <row r="224" spans="1:34" x14ac:dyDescent="0.25">
      <c r="A224" t="s">
        <v>444</v>
      </c>
      <c r="B224" s="2"/>
      <c r="C224" s="2"/>
      <c r="D224" s="8" t="s">
        <v>741</v>
      </c>
      <c r="E224" t="s">
        <v>445</v>
      </c>
      <c r="F224" s="9">
        <v>48.575000000000003</v>
      </c>
      <c r="G224" s="9">
        <v>14293.25</v>
      </c>
      <c r="H224" s="9">
        <v>375</v>
      </c>
      <c r="I224" s="9">
        <v>12156</v>
      </c>
      <c r="J224" s="9">
        <v>1.5794822833772302</v>
      </c>
      <c r="K224" s="9">
        <v>0.7937096901393117</v>
      </c>
      <c r="L224" s="9">
        <v>10.705460055504364</v>
      </c>
      <c r="M224" s="9">
        <v>6198.8697911393492</v>
      </c>
      <c r="N224" s="9">
        <v>90.102719159856662</v>
      </c>
      <c r="O224" s="9">
        <v>8207.9410633848966</v>
      </c>
      <c r="P224" s="9">
        <v>0.75820732961210835</v>
      </c>
      <c r="Q224" s="9">
        <v>0.38100870834779316</v>
      </c>
      <c r="R224" s="12" t="s">
        <v>587</v>
      </c>
      <c r="S224" t="s">
        <v>641</v>
      </c>
      <c r="T224" t="s">
        <v>605</v>
      </c>
      <c r="U224" t="s">
        <v>607</v>
      </c>
      <c r="V224" t="s">
        <v>735</v>
      </c>
      <c r="W224" s="12">
        <v>-3.1192499999999925</v>
      </c>
      <c r="X224" s="12">
        <v>4.5</v>
      </c>
      <c r="Y224" s="12">
        <v>-17.299999999999997</v>
      </c>
      <c r="Z224" s="12">
        <v>0</v>
      </c>
      <c r="AA224" s="12">
        <v>-9.1</v>
      </c>
      <c r="AB224" s="10">
        <f t="shared" si="3"/>
        <v>2.9554129924879762</v>
      </c>
      <c r="AD224" s="12"/>
      <c r="AE224" s="12"/>
      <c r="AF224" s="12"/>
      <c r="AG224" s="12"/>
      <c r="AH224" s="12"/>
    </row>
    <row r="225" spans="1:34" x14ac:dyDescent="0.25">
      <c r="A225" t="s">
        <v>446</v>
      </c>
      <c r="B225" s="2"/>
      <c r="C225" s="2"/>
      <c r="D225" s="8" t="s">
        <v>741</v>
      </c>
      <c r="E225" t="s">
        <v>447</v>
      </c>
      <c r="F225" s="9">
        <v>37.199999999999996</v>
      </c>
      <c r="G225" s="9">
        <v>13700</v>
      </c>
      <c r="H225" s="9">
        <v>425.66666666666669</v>
      </c>
      <c r="I225" s="9">
        <v>9143.3333333333339</v>
      </c>
      <c r="J225" s="9">
        <v>1.5458521671174961</v>
      </c>
      <c r="K225" s="9">
        <v>0.77681013422989753</v>
      </c>
      <c r="L225" s="9">
        <v>15.698089055678077</v>
      </c>
      <c r="M225" s="9">
        <v>2910.3264421710496</v>
      </c>
      <c r="N225" s="9">
        <v>102.4808925279894</v>
      </c>
      <c r="O225" s="9">
        <v>3123.2510839401511</v>
      </c>
      <c r="P225" s="9">
        <v>0.26172106331841233</v>
      </c>
      <c r="Q225" s="9">
        <v>0.13151812227055895</v>
      </c>
      <c r="R225" s="12" t="s">
        <v>587</v>
      </c>
      <c r="S225" t="s">
        <v>626</v>
      </c>
      <c r="T225" t="s">
        <v>592</v>
      </c>
      <c r="U225" t="s">
        <v>583</v>
      </c>
      <c r="V225" t="s">
        <v>731</v>
      </c>
      <c r="W225" s="12">
        <v>-3.0109699999999937</v>
      </c>
      <c r="X225" s="12">
        <v>5</v>
      </c>
      <c r="Y225" s="12">
        <v>-20.5</v>
      </c>
      <c r="Z225" s="12">
        <v>0</v>
      </c>
      <c r="AA225" s="12">
        <v>-5.9</v>
      </c>
      <c r="AB225" s="10">
        <f t="shared" si="3"/>
        <v>1.5263926412155095</v>
      </c>
      <c r="AD225" s="12"/>
      <c r="AE225" s="12"/>
      <c r="AF225" s="12"/>
      <c r="AG225" s="12"/>
      <c r="AH225" s="12"/>
    </row>
    <row r="226" spans="1:34" x14ac:dyDescent="0.25">
      <c r="A226" t="s">
        <v>448</v>
      </c>
      <c r="B226" s="2"/>
      <c r="C226" s="2"/>
      <c r="D226" s="8" t="s">
        <v>741</v>
      </c>
      <c r="E226" t="s">
        <v>449</v>
      </c>
      <c r="F226" s="9">
        <v>46.033333333333331</v>
      </c>
      <c r="G226" s="9">
        <v>12466.666666666666</v>
      </c>
      <c r="H226" s="9">
        <v>387</v>
      </c>
      <c r="I226" s="9">
        <v>9190.6666666666661</v>
      </c>
      <c r="J226" s="9">
        <v>1.5414338111045698</v>
      </c>
      <c r="K226" s="9">
        <v>0.77458985482641696</v>
      </c>
      <c r="L226" s="9">
        <v>18.220958628275682</v>
      </c>
      <c r="M226" s="9">
        <v>3257.8111260988326</v>
      </c>
      <c r="N226" s="9">
        <v>70.171219171395336</v>
      </c>
      <c r="O226" s="9">
        <v>5084.1028051499243</v>
      </c>
      <c r="P226" s="9">
        <v>0.56552818179340836</v>
      </c>
      <c r="Q226" s="9">
        <v>0.28418501597658713</v>
      </c>
      <c r="R226" s="12" t="s">
        <v>587</v>
      </c>
      <c r="S226" t="s">
        <v>599</v>
      </c>
      <c r="T226" t="s">
        <v>592</v>
      </c>
      <c r="U226" t="s">
        <v>583</v>
      </c>
      <c r="V226" t="s">
        <v>736</v>
      </c>
      <c r="W226" s="12">
        <v>-3.7121000000000057</v>
      </c>
      <c r="X226" s="12">
        <v>5</v>
      </c>
      <c r="Y226" s="12">
        <v>-18.8</v>
      </c>
      <c r="Z226" s="12">
        <v>-0.59999999999999787</v>
      </c>
      <c r="AA226" s="12">
        <v>-7</v>
      </c>
      <c r="AB226" s="10">
        <f t="shared" si="3"/>
        <v>1.8010944102135109</v>
      </c>
      <c r="AD226" s="12"/>
      <c r="AE226" s="12"/>
      <c r="AF226" s="12"/>
      <c r="AG226" s="12"/>
      <c r="AH226" s="12"/>
    </row>
    <row r="227" spans="1:34" x14ac:dyDescent="0.25">
      <c r="A227" t="s">
        <v>450</v>
      </c>
      <c r="B227" s="2"/>
      <c r="C227" s="2"/>
      <c r="D227" s="8" t="s">
        <v>741</v>
      </c>
      <c r="E227" t="s">
        <v>451</v>
      </c>
      <c r="F227" s="9">
        <v>43.1</v>
      </c>
      <c r="G227" s="9">
        <v>18300</v>
      </c>
      <c r="H227" s="9">
        <v>2398.3333333333335</v>
      </c>
      <c r="I227" s="9">
        <v>12352</v>
      </c>
      <c r="J227" s="9">
        <v>1.5042069311916275</v>
      </c>
      <c r="K227" s="9">
        <v>0.75588287999579273</v>
      </c>
      <c r="L227" s="9">
        <v>16.042443704124373</v>
      </c>
      <c r="M227" s="9">
        <v>4610.8567533594014</v>
      </c>
      <c r="N227" s="9">
        <v>1421.0457026038569</v>
      </c>
      <c r="O227" s="9">
        <v>3423.1089183177719</v>
      </c>
      <c r="P227" s="9">
        <v>0.1851481923496052</v>
      </c>
      <c r="Q227" s="9">
        <v>9.3039292637992557E-2</v>
      </c>
      <c r="R227" s="12" t="s">
        <v>587</v>
      </c>
      <c r="S227" t="s">
        <v>635</v>
      </c>
      <c r="T227" t="s">
        <v>575</v>
      </c>
      <c r="U227" t="s">
        <v>631</v>
      </c>
      <c r="V227" t="s">
        <v>734</v>
      </c>
      <c r="W227" s="12">
        <v>-3.3010150000000138</v>
      </c>
      <c r="X227" s="12">
        <v>4.5</v>
      </c>
      <c r="Y227" s="12">
        <v>-15.2</v>
      </c>
      <c r="Z227" s="12">
        <v>-1.1000000000000014</v>
      </c>
      <c r="AA227" s="12">
        <v>-8.8000000000000007</v>
      </c>
      <c r="AB227" s="10">
        <f t="shared" si="3"/>
        <v>3.4674847391069705</v>
      </c>
      <c r="AD227" s="12"/>
      <c r="AE227" s="12"/>
      <c r="AF227" s="12"/>
      <c r="AG227" s="12"/>
      <c r="AH227" s="12"/>
    </row>
    <row r="228" spans="1:34" x14ac:dyDescent="0.25">
      <c r="A228" t="s">
        <v>452</v>
      </c>
      <c r="B228" s="2"/>
      <c r="C228" s="2"/>
      <c r="D228" s="8" t="s">
        <v>741</v>
      </c>
      <c r="E228" t="s">
        <v>453</v>
      </c>
      <c r="F228" s="9">
        <v>53.6</v>
      </c>
      <c r="G228" s="9">
        <v>16000</v>
      </c>
      <c r="H228" s="9">
        <v>261</v>
      </c>
      <c r="I228" s="9">
        <v>11281.333333333334</v>
      </c>
      <c r="J228" s="9">
        <v>1.4988033106139189</v>
      </c>
      <c r="K228" s="9">
        <v>0.75316749277081352</v>
      </c>
      <c r="L228" s="9">
        <v>8.0800165016333025</v>
      </c>
      <c r="M228" s="9">
        <v>3967.3668849754745</v>
      </c>
      <c r="N228" s="9">
        <v>79.92913528036361</v>
      </c>
      <c r="O228" s="9">
        <v>4272.8917088495882</v>
      </c>
      <c r="P228" s="9">
        <v>0.25525327692983713</v>
      </c>
      <c r="Q228" s="9">
        <v>0.12826797835670206</v>
      </c>
      <c r="R228" s="12" t="s">
        <v>691</v>
      </c>
      <c r="S228" t="s">
        <v>692</v>
      </c>
      <c r="T228" t="s">
        <v>693</v>
      </c>
      <c r="U228" t="s">
        <v>694</v>
      </c>
      <c r="V228" t="s">
        <v>737</v>
      </c>
      <c r="W228" s="12">
        <v>-6.2795650000000096</v>
      </c>
      <c r="X228" s="12">
        <v>6.58</v>
      </c>
      <c r="Y228" s="12">
        <v>1.08</v>
      </c>
      <c r="Z228" s="12">
        <v>-1.08</v>
      </c>
      <c r="AA228" s="12">
        <v>-5.5</v>
      </c>
      <c r="AB228" s="10">
        <f t="shared" si="3"/>
        <v>1.1457992832243988</v>
      </c>
      <c r="AD228" s="12"/>
      <c r="AE228" s="12"/>
      <c r="AF228" s="12"/>
      <c r="AG228" s="12"/>
      <c r="AH228" s="12"/>
    </row>
    <row r="229" spans="1:34" x14ac:dyDescent="0.25">
      <c r="A229" t="s">
        <v>454</v>
      </c>
      <c r="B229" s="2"/>
      <c r="C229" s="2"/>
      <c r="D229" s="8" t="s">
        <v>741</v>
      </c>
      <c r="E229" t="s">
        <v>455</v>
      </c>
      <c r="F229" s="9">
        <v>48.199999999999996</v>
      </c>
      <c r="G229" s="9">
        <v>13600</v>
      </c>
      <c r="H229" s="9">
        <v>445.66666666666669</v>
      </c>
      <c r="I229" s="9">
        <v>9740</v>
      </c>
      <c r="J229" s="9">
        <v>1.4935965483321458</v>
      </c>
      <c r="K229" s="9">
        <v>0.75055102931263606</v>
      </c>
      <c r="L229" s="9">
        <v>17.406033436713827</v>
      </c>
      <c r="M229" s="9">
        <v>3915.3543900903787</v>
      </c>
      <c r="N229" s="9">
        <v>74.440132545108455</v>
      </c>
      <c r="O229" s="9">
        <v>4990.5013776172827</v>
      </c>
      <c r="P229" s="9">
        <v>0.30318197925238366</v>
      </c>
      <c r="Q229" s="9">
        <v>0.15235275339315762</v>
      </c>
      <c r="R229" s="12" t="s">
        <v>587</v>
      </c>
      <c r="S229" t="s">
        <v>594</v>
      </c>
      <c r="T229" t="s">
        <v>592</v>
      </c>
      <c r="U229" t="s">
        <v>583</v>
      </c>
      <c r="V229" t="s">
        <v>736</v>
      </c>
      <c r="W229" s="12">
        <v>-3.7121000000000057</v>
      </c>
      <c r="X229" s="12">
        <v>0.8</v>
      </c>
      <c r="Y229" s="12">
        <v>-22.5</v>
      </c>
      <c r="Z229" s="12">
        <v>-0.39999999999999858</v>
      </c>
      <c r="AA229" s="12">
        <v>-8.1</v>
      </c>
      <c r="AB229" s="10">
        <f t="shared" si="3"/>
        <v>2.4095807659638453</v>
      </c>
      <c r="AD229" s="12"/>
      <c r="AE229" s="12"/>
      <c r="AF229" s="12"/>
      <c r="AG229" s="12"/>
      <c r="AH229" s="12"/>
    </row>
    <row r="230" spans="1:34" x14ac:dyDescent="0.25">
      <c r="A230" t="s">
        <v>456</v>
      </c>
      <c r="B230" s="2"/>
      <c r="C230" s="2"/>
      <c r="D230" s="8" t="s">
        <v>741</v>
      </c>
      <c r="E230" t="s">
        <v>457</v>
      </c>
      <c r="F230" s="9">
        <v>60.9</v>
      </c>
      <c r="G230" s="9">
        <v>14466.666666666666</v>
      </c>
      <c r="H230" s="9">
        <v>335.33333333333331</v>
      </c>
      <c r="I230" s="9">
        <v>10095.333333333334</v>
      </c>
      <c r="J230" s="9">
        <v>1.4926103879442951</v>
      </c>
      <c r="K230" s="9">
        <v>0.75005547132879158</v>
      </c>
      <c r="L230" s="9">
        <v>21.245234759823216</v>
      </c>
      <c r="M230" s="9">
        <v>3286.8424564212555</v>
      </c>
      <c r="N230" s="9">
        <v>58.50071224637648</v>
      </c>
      <c r="O230" s="9">
        <v>3784.6058359270842</v>
      </c>
      <c r="P230" s="9">
        <v>0.25633840414846143</v>
      </c>
      <c r="Q230" s="9">
        <v>0.12881326841631227</v>
      </c>
      <c r="R230" s="12" t="s">
        <v>587</v>
      </c>
      <c r="S230" t="s">
        <v>608</v>
      </c>
      <c r="T230" t="s">
        <v>579</v>
      </c>
      <c r="U230" t="s">
        <v>583</v>
      </c>
      <c r="V230" t="s">
        <v>731</v>
      </c>
      <c r="W230" s="12">
        <v>-3.0109699999999937</v>
      </c>
      <c r="X230" s="12">
        <v>0.8</v>
      </c>
      <c r="Y230" s="12">
        <v>-15.999999999999996</v>
      </c>
      <c r="Z230" s="12">
        <v>0</v>
      </c>
      <c r="AA230" s="12">
        <v>-5.9</v>
      </c>
      <c r="AB230" s="10">
        <f t="shared" si="3"/>
        <v>1.603726413309418</v>
      </c>
      <c r="AD230" s="12"/>
      <c r="AE230" s="12"/>
      <c r="AF230" s="12"/>
      <c r="AG230" s="12"/>
      <c r="AH230" s="12"/>
    </row>
    <row r="231" spans="1:34" x14ac:dyDescent="0.25">
      <c r="A231" t="s">
        <v>458</v>
      </c>
      <c r="B231" s="2"/>
      <c r="C231" s="2"/>
      <c r="D231" s="8" t="s">
        <v>741</v>
      </c>
      <c r="E231" t="s">
        <v>459</v>
      </c>
      <c r="F231" s="9">
        <v>41.366666666666667</v>
      </c>
      <c r="G231" s="9">
        <v>15133.333333333334</v>
      </c>
      <c r="H231" s="9">
        <v>590</v>
      </c>
      <c r="I231" s="9">
        <v>10683.666666666666</v>
      </c>
      <c r="J231" s="9">
        <v>1.4807567690328665</v>
      </c>
      <c r="K231" s="9">
        <v>0.74409887891098814</v>
      </c>
      <c r="L231" s="9">
        <v>32.267682490896888</v>
      </c>
      <c r="M231" s="9">
        <v>4377.5944688074196</v>
      </c>
      <c r="N231" s="9">
        <v>85.422479477008864</v>
      </c>
      <c r="O231" s="9">
        <v>4726.2067594777682</v>
      </c>
      <c r="P231" s="9">
        <v>0.23008179026392772</v>
      </c>
      <c r="Q231" s="9">
        <v>0.11561899008237574</v>
      </c>
      <c r="R231" s="12" t="s">
        <v>587</v>
      </c>
      <c r="S231" t="s">
        <v>608</v>
      </c>
      <c r="T231" t="s">
        <v>579</v>
      </c>
      <c r="U231" t="s">
        <v>583</v>
      </c>
      <c r="V231" t="s">
        <v>723</v>
      </c>
      <c r="W231" s="12">
        <v>-2.220554999999993</v>
      </c>
      <c r="X231" s="12">
        <v>0.8</v>
      </c>
      <c r="Y231" s="12">
        <v>-15.999999999999996</v>
      </c>
      <c r="Z231" s="12">
        <v>0</v>
      </c>
      <c r="AA231" s="12">
        <v>-5.9</v>
      </c>
      <c r="AB231" s="10">
        <f t="shared" si="3"/>
        <v>1.8598227163167433</v>
      </c>
      <c r="AD231" s="12"/>
      <c r="AE231" s="12"/>
      <c r="AF231" s="12"/>
      <c r="AG231" s="12"/>
      <c r="AH231" s="12"/>
    </row>
    <row r="232" spans="1:34" x14ac:dyDescent="0.25">
      <c r="A232" t="s">
        <v>460</v>
      </c>
      <c r="B232" s="2"/>
      <c r="C232" s="2"/>
      <c r="D232" s="8" t="s">
        <v>741</v>
      </c>
      <c r="E232" t="s">
        <v>461</v>
      </c>
      <c r="F232" s="9">
        <v>51.133333333333333</v>
      </c>
      <c r="G232" s="9">
        <v>11800</v>
      </c>
      <c r="H232" s="9">
        <v>379</v>
      </c>
      <c r="I232" s="9">
        <v>8427</v>
      </c>
      <c r="J232" s="9">
        <v>1.4799861469569759</v>
      </c>
      <c r="K232" s="9">
        <v>0.74371163163667131</v>
      </c>
      <c r="L232" s="9">
        <v>19.427386168327782</v>
      </c>
      <c r="M232" s="9">
        <v>2433.1050121192879</v>
      </c>
      <c r="N232" s="9">
        <v>90.21640649017229</v>
      </c>
      <c r="O232" s="9">
        <v>3566.5463686877815</v>
      </c>
      <c r="P232" s="9">
        <v>0.28942085633334341</v>
      </c>
      <c r="Q232" s="9">
        <v>0.14543761624791127</v>
      </c>
      <c r="R232" s="12" t="s">
        <v>664</v>
      </c>
      <c r="S232" t="s">
        <v>665</v>
      </c>
      <c r="T232" t="s">
        <v>574</v>
      </c>
      <c r="U232" t="s">
        <v>583</v>
      </c>
      <c r="V232" t="s">
        <v>738</v>
      </c>
      <c r="W232" s="12">
        <v>-3.1094700000000013</v>
      </c>
      <c r="X232" s="12">
        <v>0.8</v>
      </c>
      <c r="Y232" s="12">
        <v>-11.999999999999998</v>
      </c>
      <c r="Z232" s="12">
        <v>-4.6000000000000032</v>
      </c>
      <c r="AA232" s="12">
        <v>-7.7999999999999989</v>
      </c>
      <c r="AB232" s="10">
        <f t="shared" si="3"/>
        <v>10.945813913309914</v>
      </c>
      <c r="AD232" s="12"/>
      <c r="AE232" s="12"/>
      <c r="AF232" s="12"/>
      <c r="AG232" s="12"/>
      <c r="AH232" s="12"/>
    </row>
    <row r="233" spans="1:34" x14ac:dyDescent="0.25">
      <c r="A233" t="s">
        <v>462</v>
      </c>
      <c r="B233" s="2"/>
      <c r="C233" s="2"/>
      <c r="D233" s="8" t="s">
        <v>741</v>
      </c>
      <c r="E233" t="s">
        <v>463</v>
      </c>
      <c r="F233" s="9">
        <v>49.633333333333326</v>
      </c>
      <c r="G233" s="9">
        <v>14133.333333333334</v>
      </c>
      <c r="H233" s="9">
        <v>297</v>
      </c>
      <c r="I233" s="9">
        <v>9881.6666666666661</v>
      </c>
      <c r="J233" s="9">
        <v>1.4689394342866582</v>
      </c>
      <c r="K233" s="9">
        <v>0.73816051974203933</v>
      </c>
      <c r="L233" s="9">
        <v>7.5593209571584099</v>
      </c>
      <c r="M233" s="9">
        <v>2709.8585448936838</v>
      </c>
      <c r="N233" s="9">
        <v>57.419508879822367</v>
      </c>
      <c r="O233" s="9">
        <v>2804.8187701406564</v>
      </c>
      <c r="P233" s="9">
        <v>0.229600190643067</v>
      </c>
      <c r="Q233" s="9">
        <v>0.11537698022264674</v>
      </c>
      <c r="R233" s="12" t="s">
        <v>587</v>
      </c>
      <c r="S233" t="s">
        <v>595</v>
      </c>
      <c r="T233" t="s">
        <v>592</v>
      </c>
      <c r="U233" t="s">
        <v>583</v>
      </c>
      <c r="V233" t="s">
        <v>731</v>
      </c>
      <c r="W233" s="12">
        <v>-3.0109699999999937</v>
      </c>
      <c r="X233" s="12">
        <v>3.4</v>
      </c>
      <c r="Y233" s="12">
        <v>-16.100000000000009</v>
      </c>
      <c r="Z233" s="12">
        <v>0</v>
      </c>
      <c r="AA233" s="12">
        <v>-8.1</v>
      </c>
      <c r="AB233" s="10">
        <f t="shared" si="3"/>
        <v>2.4939291743682297</v>
      </c>
      <c r="AD233" s="12"/>
      <c r="AE233" s="12"/>
      <c r="AF233" s="12"/>
      <c r="AG233" s="12"/>
      <c r="AH233" s="12"/>
    </row>
    <row r="234" spans="1:34" x14ac:dyDescent="0.25">
      <c r="A234" t="s">
        <v>464</v>
      </c>
      <c r="B234" s="2"/>
      <c r="C234" s="2"/>
      <c r="D234" s="8" t="s">
        <v>742</v>
      </c>
      <c r="E234" t="s">
        <v>465</v>
      </c>
      <c r="F234" s="9">
        <v>23.1</v>
      </c>
      <c r="G234" s="9">
        <v>8833</v>
      </c>
      <c r="H234" s="9">
        <v>268.5</v>
      </c>
      <c r="I234" s="9">
        <v>6200</v>
      </c>
      <c r="J234" s="9">
        <v>1.4411628745821186</v>
      </c>
      <c r="K234" s="9">
        <v>0.72420244953875301</v>
      </c>
      <c r="L234" s="9">
        <v>3.3941125496954254</v>
      </c>
      <c r="M234" s="9">
        <v>1441.0836200581839</v>
      </c>
      <c r="N234" s="9">
        <v>111.01576464628796</v>
      </c>
      <c r="O234" s="9">
        <v>1562.7059864222699</v>
      </c>
      <c r="P234" s="9">
        <v>0.13081132765497086</v>
      </c>
      <c r="Q234" s="9">
        <v>6.5734335505010483E-2</v>
      </c>
      <c r="R234" s="12" t="s">
        <v>587</v>
      </c>
      <c r="S234" t="s">
        <v>609</v>
      </c>
      <c r="T234" t="s">
        <v>586</v>
      </c>
      <c r="U234" t="s">
        <v>583</v>
      </c>
      <c r="V234" t="s">
        <v>707</v>
      </c>
      <c r="W234" s="12">
        <v>1.6358049999999931</v>
      </c>
      <c r="X234" s="12">
        <v>3.4</v>
      </c>
      <c r="Y234" s="12">
        <v>-6</v>
      </c>
      <c r="Z234" s="12">
        <v>-1.2000000000000002</v>
      </c>
      <c r="AA234" s="12">
        <v>-7</v>
      </c>
      <c r="AB234" s="10">
        <f t="shared" si="3"/>
        <v>9.8512771263045451</v>
      </c>
      <c r="AD234" s="12"/>
      <c r="AE234" s="12"/>
      <c r="AF234" s="12"/>
      <c r="AG234" s="12"/>
      <c r="AH234" s="12"/>
    </row>
    <row r="235" spans="1:34" x14ac:dyDescent="0.25">
      <c r="A235" t="s">
        <v>466</v>
      </c>
      <c r="B235" s="2"/>
      <c r="C235" s="2"/>
      <c r="D235" s="8" t="s">
        <v>741</v>
      </c>
      <c r="E235" t="s">
        <v>467</v>
      </c>
      <c r="F235" s="9">
        <v>58.466666666666669</v>
      </c>
      <c r="G235" s="9">
        <v>16000</v>
      </c>
      <c r="H235" s="9">
        <v>933.66666666666663</v>
      </c>
      <c r="I235" s="9">
        <v>12744</v>
      </c>
      <c r="J235" s="9">
        <v>1.4169716464924129</v>
      </c>
      <c r="K235" s="9">
        <v>0.71204605351377537</v>
      </c>
      <c r="L235" s="9">
        <v>6.8825060035490306</v>
      </c>
      <c r="M235" s="9">
        <v>4517.373868373822</v>
      </c>
      <c r="N235" s="9">
        <v>724.19948141992541</v>
      </c>
      <c r="O235" s="9">
        <v>6739.3633725053487</v>
      </c>
      <c r="P235" s="9">
        <v>0.30548441335806736</v>
      </c>
      <c r="Q235" s="9">
        <v>0.15350975545631526</v>
      </c>
      <c r="R235" s="12" t="s">
        <v>587</v>
      </c>
      <c r="S235" t="s">
        <v>637</v>
      </c>
      <c r="T235" t="s">
        <v>638</v>
      </c>
      <c r="U235" t="s">
        <v>607</v>
      </c>
      <c r="V235" t="s">
        <v>735</v>
      </c>
      <c r="W235" s="12">
        <v>-3.1192499999999925</v>
      </c>
      <c r="X235" s="12">
        <v>4.5999999999999996</v>
      </c>
      <c r="Y235" s="12">
        <v>-20.5</v>
      </c>
      <c r="Z235" s="12">
        <v>0</v>
      </c>
      <c r="AA235" s="12">
        <v>-7.5</v>
      </c>
      <c r="AB235" s="10">
        <f t="shared" si="3"/>
        <v>2.0197468891890047</v>
      </c>
      <c r="AD235" s="12"/>
      <c r="AE235" s="12"/>
      <c r="AF235" s="12"/>
      <c r="AG235" s="12"/>
      <c r="AH235" s="12"/>
    </row>
    <row r="236" spans="1:34" x14ac:dyDescent="0.25">
      <c r="A236" t="s">
        <v>468</v>
      </c>
      <c r="B236" s="2"/>
      <c r="C236" s="2"/>
      <c r="D236" s="8" t="s">
        <v>741</v>
      </c>
      <c r="E236" t="s">
        <v>469</v>
      </c>
      <c r="F236" s="9">
        <v>49.466666666666661</v>
      </c>
      <c r="G236" s="9">
        <v>14519</v>
      </c>
      <c r="H236" s="9">
        <v>1836.6666666666667</v>
      </c>
      <c r="I236" s="9">
        <v>10850</v>
      </c>
      <c r="J236" s="9">
        <v>1.4104065468607603</v>
      </c>
      <c r="K236" s="9">
        <v>0.70874700847274386</v>
      </c>
      <c r="L236" s="9">
        <v>25.574509879087731</v>
      </c>
      <c r="M236" s="9">
        <v>4634.4710593551017</v>
      </c>
      <c r="N236" s="9">
        <v>1113.5781168028682</v>
      </c>
      <c r="O236" s="9">
        <v>4896.684252294267</v>
      </c>
      <c r="P236" s="9">
        <v>0.16911995107824251</v>
      </c>
      <c r="Q236" s="9">
        <v>8.4984900039317843E-2</v>
      </c>
      <c r="R236" s="12" t="s">
        <v>652</v>
      </c>
      <c r="S236" t="s">
        <v>658</v>
      </c>
      <c r="T236" t="s">
        <v>633</v>
      </c>
      <c r="U236" t="s">
        <v>631</v>
      </c>
      <c r="V236" t="s">
        <v>728</v>
      </c>
      <c r="W236" s="12">
        <v>-2.9070350000000036</v>
      </c>
      <c r="X236" s="12">
        <v>4.2</v>
      </c>
      <c r="Y236" s="12">
        <v>-13.600000000000001</v>
      </c>
      <c r="Z236" s="12">
        <v>-2.5</v>
      </c>
      <c r="AA236" s="12">
        <v>-9.1</v>
      </c>
      <c r="AB236" s="10">
        <f t="shared" si="3"/>
        <v>6.2735884471339229</v>
      </c>
      <c r="AD236" s="12"/>
      <c r="AE236" s="12"/>
      <c r="AF236" s="12"/>
      <c r="AG236" s="12"/>
      <c r="AH236" s="12"/>
    </row>
    <row r="237" spans="1:34" x14ac:dyDescent="0.25">
      <c r="A237" t="s">
        <v>470</v>
      </c>
      <c r="B237" s="2"/>
      <c r="C237" s="2"/>
      <c r="D237" s="8" t="s">
        <v>741</v>
      </c>
      <c r="E237" t="s">
        <v>471</v>
      </c>
      <c r="F237" s="9">
        <v>45.333333333333336</v>
      </c>
      <c r="G237" s="9">
        <v>15277.666666666666</v>
      </c>
      <c r="H237" s="9">
        <v>840.33333333333337</v>
      </c>
      <c r="I237" s="9">
        <v>11445.666666666666</v>
      </c>
      <c r="J237" s="9">
        <v>1.407465292120663</v>
      </c>
      <c r="K237" s="9">
        <v>0.70726899101540852</v>
      </c>
      <c r="L237" s="9">
        <v>31.088636723621921</v>
      </c>
      <c r="M237" s="9">
        <v>5145.8717758348112</v>
      </c>
      <c r="N237" s="9">
        <v>188.41532138691178</v>
      </c>
      <c r="O237" s="9">
        <v>5535.5899715688247</v>
      </c>
      <c r="P237" s="9">
        <v>0.22676554427996484</v>
      </c>
      <c r="Q237" s="9">
        <v>0.11395253481405268</v>
      </c>
      <c r="R237" s="12" t="s">
        <v>587</v>
      </c>
      <c r="S237" t="s">
        <v>593</v>
      </c>
      <c r="T237" t="s">
        <v>579</v>
      </c>
      <c r="U237" t="s">
        <v>583</v>
      </c>
      <c r="V237" t="s">
        <v>723</v>
      </c>
      <c r="W237" s="12">
        <v>-2.220554999999993</v>
      </c>
      <c r="X237" s="12">
        <v>3.4</v>
      </c>
      <c r="Y237" s="12">
        <v>-14.299999999999999</v>
      </c>
      <c r="Z237" s="12">
        <v>0</v>
      </c>
      <c r="AA237" s="12">
        <v>-9</v>
      </c>
      <c r="AB237" s="10">
        <f t="shared" si="3"/>
        <v>4.0001932643728759</v>
      </c>
      <c r="AD237" s="12"/>
      <c r="AE237" s="12"/>
      <c r="AF237" s="12"/>
      <c r="AG237" s="12"/>
      <c r="AH237" s="12"/>
    </row>
    <row r="238" spans="1:34" x14ac:dyDescent="0.25">
      <c r="A238" t="s">
        <v>472</v>
      </c>
      <c r="B238" s="2"/>
      <c r="C238" s="2"/>
      <c r="D238" s="8" t="s">
        <v>741</v>
      </c>
      <c r="E238" t="s">
        <v>473</v>
      </c>
      <c r="F238" s="9">
        <v>48.433333333333337</v>
      </c>
      <c r="G238" s="9">
        <v>13175.333333333334</v>
      </c>
      <c r="H238" s="9">
        <v>299.66666666666669</v>
      </c>
      <c r="I238" s="9">
        <v>9980</v>
      </c>
      <c r="J238" s="9">
        <v>1.4060705821147701</v>
      </c>
      <c r="K238" s="9">
        <v>0.70656813171596489</v>
      </c>
      <c r="L238" s="9">
        <v>27.596436968082177</v>
      </c>
      <c r="M238" s="9">
        <v>4305.0464960710169</v>
      </c>
      <c r="N238" s="9">
        <v>42.477444995354219</v>
      </c>
      <c r="O238" s="9">
        <v>5068.3030690754867</v>
      </c>
      <c r="P238" s="9">
        <v>0.26931262885182322</v>
      </c>
      <c r="Q238" s="9">
        <v>0.13533297932252422</v>
      </c>
      <c r="R238" s="12" t="s">
        <v>587</v>
      </c>
      <c r="S238" t="s">
        <v>610</v>
      </c>
      <c r="T238" t="s">
        <v>579</v>
      </c>
      <c r="U238" t="s">
        <v>583</v>
      </c>
      <c r="V238" t="s">
        <v>723</v>
      </c>
      <c r="W238" s="12">
        <v>-2.220554999999993</v>
      </c>
      <c r="X238" s="12">
        <v>5</v>
      </c>
      <c r="Y238" s="12">
        <v>-9.2000000000000011</v>
      </c>
      <c r="Z238" s="12">
        <v>0</v>
      </c>
      <c r="AA238" s="12">
        <v>-7</v>
      </c>
      <c r="AB238" s="10">
        <f t="shared" si="3"/>
        <v>2.1508205048672266</v>
      </c>
      <c r="AD238" s="12"/>
      <c r="AE238" s="12"/>
      <c r="AF238" s="12"/>
      <c r="AG238" s="12"/>
      <c r="AH238" s="12"/>
    </row>
    <row r="239" spans="1:34" x14ac:dyDescent="0.25">
      <c r="A239" t="s">
        <v>474</v>
      </c>
      <c r="B239" s="2"/>
      <c r="C239" s="2"/>
      <c r="D239" s="8" t="s">
        <v>741</v>
      </c>
      <c r="E239" t="s">
        <v>475</v>
      </c>
      <c r="F239" s="9">
        <v>50.2</v>
      </c>
      <c r="G239" s="9">
        <v>13700</v>
      </c>
      <c r="H239" s="9">
        <v>320</v>
      </c>
      <c r="I239" s="9">
        <v>10207</v>
      </c>
      <c r="J239" s="9">
        <v>1.402780175762703</v>
      </c>
      <c r="K239" s="9">
        <v>0.70491466118728796</v>
      </c>
      <c r="L239" s="9">
        <v>0.14142135623730651</v>
      </c>
      <c r="M239" s="9">
        <v>4101.219330881976</v>
      </c>
      <c r="N239" s="9">
        <v>63.63961030678928</v>
      </c>
      <c r="O239" s="9">
        <v>4798.4266171319114</v>
      </c>
      <c r="P239" s="9">
        <v>0.25765831316574583</v>
      </c>
      <c r="Q239" s="9">
        <v>0.12947653927926928</v>
      </c>
      <c r="R239" s="12" t="s">
        <v>587</v>
      </c>
      <c r="S239" t="s">
        <v>600</v>
      </c>
      <c r="T239" t="s">
        <v>579</v>
      </c>
      <c r="U239" t="s">
        <v>583</v>
      </c>
      <c r="V239" t="s">
        <v>731</v>
      </c>
      <c r="W239" s="12">
        <v>-3.0109699999999937</v>
      </c>
      <c r="X239" s="12">
        <v>3.4</v>
      </c>
      <c r="Y239" s="12">
        <v>-11.6</v>
      </c>
      <c r="Z239" s="12">
        <v>-0.59999999999999964</v>
      </c>
      <c r="AA239" s="12">
        <v>-7</v>
      </c>
      <c r="AB239" s="10">
        <f t="shared" si="3"/>
        <v>2.2068958466565851</v>
      </c>
      <c r="AD239" s="12"/>
      <c r="AE239" s="12"/>
      <c r="AF239" s="12"/>
      <c r="AG239" s="12"/>
      <c r="AH239" s="12"/>
    </row>
    <row r="240" spans="1:34" x14ac:dyDescent="0.25">
      <c r="A240" t="s">
        <v>476</v>
      </c>
      <c r="B240" s="2"/>
      <c r="C240" s="2"/>
      <c r="D240" s="8" t="s">
        <v>741</v>
      </c>
      <c r="E240" t="s">
        <v>477</v>
      </c>
      <c r="F240" s="9">
        <v>32</v>
      </c>
      <c r="G240" s="9">
        <v>11450</v>
      </c>
      <c r="H240" s="9">
        <v>433</v>
      </c>
      <c r="I240" s="9">
        <v>8239.5</v>
      </c>
      <c r="J240" s="9">
        <v>1.3975571040732804</v>
      </c>
      <c r="K240" s="9">
        <v>0.70229000204687453</v>
      </c>
      <c r="L240" s="9">
        <v>8.2024386617639351</v>
      </c>
      <c r="M240" s="9">
        <v>919.23881554251182</v>
      </c>
      <c r="N240" s="9">
        <v>53.740115370177612</v>
      </c>
      <c r="O240" s="9">
        <v>607.40472503924434</v>
      </c>
      <c r="P240" s="9">
        <v>0.21459088586307293</v>
      </c>
      <c r="Q240" s="9">
        <v>0.10783461601159444</v>
      </c>
      <c r="R240" s="12" t="s">
        <v>587</v>
      </c>
      <c r="S240" t="s">
        <v>609</v>
      </c>
      <c r="T240" t="s">
        <v>586</v>
      </c>
      <c r="U240" t="s">
        <v>583</v>
      </c>
      <c r="V240" t="s">
        <v>736</v>
      </c>
      <c r="W240" s="12">
        <v>-3.7121000000000057</v>
      </c>
      <c r="X240" s="12">
        <v>3.4</v>
      </c>
      <c r="Y240" s="12">
        <v>-6</v>
      </c>
      <c r="Z240" s="12">
        <v>-0.59999999999999964</v>
      </c>
      <c r="AA240" s="12">
        <v>-7</v>
      </c>
      <c r="AB240" s="10">
        <f t="shared" si="3"/>
        <v>1.8915266537171718</v>
      </c>
      <c r="AD240" s="12"/>
      <c r="AE240" s="12"/>
      <c r="AF240" s="12"/>
      <c r="AG240" s="12"/>
      <c r="AH240" s="12"/>
    </row>
    <row r="241" spans="1:34" x14ac:dyDescent="0.25">
      <c r="A241" t="s">
        <v>478</v>
      </c>
      <c r="B241" s="2"/>
      <c r="C241" s="2"/>
      <c r="D241" s="8" t="s">
        <v>741</v>
      </c>
      <c r="E241" t="s">
        <v>479</v>
      </c>
      <c r="F241" s="9">
        <v>47.05</v>
      </c>
      <c r="G241" s="9">
        <v>17150</v>
      </c>
      <c r="H241" s="9">
        <v>3636</v>
      </c>
      <c r="I241" s="9">
        <v>12100</v>
      </c>
      <c r="J241" s="9">
        <v>1.3884542851155968</v>
      </c>
      <c r="K241" s="9">
        <v>0.69771572116361646</v>
      </c>
      <c r="L241" s="9">
        <v>4.6500000000000021</v>
      </c>
      <c r="M241" s="9">
        <v>4850</v>
      </c>
      <c r="N241" s="9">
        <v>2379</v>
      </c>
      <c r="O241" s="9">
        <v>1800</v>
      </c>
      <c r="P241" s="9">
        <v>0.19427952783404343</v>
      </c>
      <c r="Q241" s="9">
        <v>9.762790343419267E-2</v>
      </c>
      <c r="R241" s="12" t="s">
        <v>652</v>
      </c>
      <c r="S241" t="s">
        <v>686</v>
      </c>
      <c r="T241" t="s">
        <v>575</v>
      </c>
      <c r="U241" t="s">
        <v>631</v>
      </c>
      <c r="V241" t="s">
        <v>728</v>
      </c>
      <c r="W241" s="12">
        <v>-2.9070350000000036</v>
      </c>
      <c r="X241" s="12">
        <v>3.4</v>
      </c>
      <c r="Y241" s="12">
        <v>-16.8</v>
      </c>
      <c r="Z241" s="12">
        <v>-2.3999999999999986</v>
      </c>
      <c r="AA241" s="12">
        <v>-10</v>
      </c>
      <c r="AB241" s="10">
        <f t="shared" si="3"/>
        <v>8.9738489176040233</v>
      </c>
      <c r="AD241" s="12"/>
      <c r="AE241" s="12"/>
      <c r="AF241" s="12"/>
      <c r="AG241" s="12"/>
      <c r="AH241" s="12"/>
    </row>
    <row r="242" spans="1:34" x14ac:dyDescent="0.25">
      <c r="A242" t="s">
        <v>480</v>
      </c>
      <c r="B242" s="2"/>
      <c r="C242" s="2"/>
      <c r="D242" s="8" t="s">
        <v>741</v>
      </c>
      <c r="E242" t="s">
        <v>481</v>
      </c>
      <c r="F242" s="9">
        <v>55</v>
      </c>
      <c r="G242" s="9">
        <v>13100</v>
      </c>
      <c r="H242" s="9">
        <v>520.33333333333337</v>
      </c>
      <c r="I242" s="9">
        <v>10009</v>
      </c>
      <c r="J242" s="9">
        <v>1.359673422912917</v>
      </c>
      <c r="K242" s="9">
        <v>0.6832529763381493</v>
      </c>
      <c r="L242" s="9">
        <v>18.384504344692022</v>
      </c>
      <c r="M242" s="9">
        <v>3011.6440692751194</v>
      </c>
      <c r="N242" s="9">
        <v>86.031002163948514</v>
      </c>
      <c r="O242" s="9">
        <v>3357.1331519616556</v>
      </c>
      <c r="P242" s="9">
        <v>0.26690652660038849</v>
      </c>
      <c r="Q242" s="9">
        <v>0.13412388271376308</v>
      </c>
      <c r="R242" s="12" t="s">
        <v>587</v>
      </c>
      <c r="S242" t="s">
        <v>601</v>
      </c>
      <c r="T242" t="s">
        <v>592</v>
      </c>
      <c r="U242" t="s">
        <v>583</v>
      </c>
      <c r="V242" t="s">
        <v>731</v>
      </c>
      <c r="W242" s="12">
        <v>-3.0109699999999937</v>
      </c>
      <c r="X242" s="12">
        <v>5</v>
      </c>
      <c r="Y242" s="12">
        <v>-16.800000000000004</v>
      </c>
      <c r="Z242" s="12">
        <v>-0.59999999999999432</v>
      </c>
      <c r="AA242" s="12">
        <v>-7</v>
      </c>
      <c r="AB242" s="10">
        <f t="shared" si="3"/>
        <v>2.0664384053556004</v>
      </c>
      <c r="AD242" s="12"/>
      <c r="AE242" s="12"/>
      <c r="AF242" s="12"/>
      <c r="AG242" s="12"/>
      <c r="AH242" s="12"/>
    </row>
    <row r="243" spans="1:34" x14ac:dyDescent="0.25">
      <c r="A243" t="s">
        <v>482</v>
      </c>
      <c r="B243" s="2"/>
      <c r="C243" s="2"/>
      <c r="D243" s="8" t="s">
        <v>741</v>
      </c>
      <c r="E243" t="s">
        <v>483</v>
      </c>
      <c r="F243" s="9">
        <v>50.4</v>
      </c>
      <c r="G243" s="9">
        <v>15500</v>
      </c>
      <c r="H243" s="9">
        <v>588.33333333333337</v>
      </c>
      <c r="I243" s="9">
        <v>12206.333333333334</v>
      </c>
      <c r="J243" s="9">
        <v>1.3213740376655518</v>
      </c>
      <c r="K243" s="9">
        <v>0.66400705410329242</v>
      </c>
      <c r="L243" s="9">
        <v>23.345020882406601</v>
      </c>
      <c r="M243" s="9">
        <v>2751.3632984395208</v>
      </c>
      <c r="N243" s="9">
        <v>145.33524463575006</v>
      </c>
      <c r="O243" s="9">
        <v>3713.2762263711734</v>
      </c>
      <c r="P243" s="9">
        <v>0.27324962714142498</v>
      </c>
      <c r="Q243" s="9">
        <v>0.13731137042282662</v>
      </c>
      <c r="R243" s="12" t="s">
        <v>587</v>
      </c>
      <c r="S243" t="s">
        <v>591</v>
      </c>
      <c r="T243" t="s">
        <v>592</v>
      </c>
      <c r="U243" t="s">
        <v>583</v>
      </c>
      <c r="V243" t="s">
        <v>723</v>
      </c>
      <c r="W243" s="12">
        <v>-2.220554999999993</v>
      </c>
      <c r="X243" s="12">
        <v>5</v>
      </c>
      <c r="Y243" s="12">
        <v>-21.5</v>
      </c>
      <c r="Z243" s="12">
        <v>0</v>
      </c>
      <c r="AA243" s="12">
        <v>-9</v>
      </c>
      <c r="AB243" s="10">
        <f t="shared" si="3"/>
        <v>3.4219900868741551</v>
      </c>
      <c r="AD243" s="12"/>
      <c r="AE243" s="12"/>
      <c r="AF243" s="12"/>
      <c r="AG243" s="12"/>
      <c r="AH243" s="12"/>
    </row>
    <row r="244" spans="1:34" x14ac:dyDescent="0.25">
      <c r="A244" t="s">
        <v>484</v>
      </c>
      <c r="B244" s="2"/>
      <c r="C244" s="2"/>
      <c r="D244" s="8" t="s">
        <v>741</v>
      </c>
      <c r="E244" t="s">
        <v>485</v>
      </c>
      <c r="F244" s="9">
        <v>86.8</v>
      </c>
      <c r="G244" s="9">
        <v>22700</v>
      </c>
      <c r="H244" s="9">
        <v>624</v>
      </c>
      <c r="I244" s="9">
        <v>17200</v>
      </c>
      <c r="J244" s="9">
        <v>1.319767441860465</v>
      </c>
      <c r="K244" s="9">
        <v>0.66319971952787182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12" t="s">
        <v>587</v>
      </c>
      <c r="S244" t="s">
        <v>680</v>
      </c>
      <c r="T244" t="s">
        <v>681</v>
      </c>
      <c r="U244" t="s">
        <v>572</v>
      </c>
      <c r="V244" t="s">
        <v>711</v>
      </c>
      <c r="W244" s="12">
        <v>-0.63561500000000526</v>
      </c>
      <c r="X244" s="12">
        <v>4.5</v>
      </c>
      <c r="Y244" s="12">
        <v>-20.599999999999998</v>
      </c>
      <c r="Z244" s="12">
        <v>-0.50000000000000355</v>
      </c>
      <c r="AA244" s="12">
        <v>-7.5</v>
      </c>
      <c r="AB244" s="10">
        <f t="shared" si="3"/>
        <v>4.2376836386986607</v>
      </c>
      <c r="AD244" s="12"/>
      <c r="AE244" s="12"/>
      <c r="AF244" s="12"/>
      <c r="AG244" s="12"/>
      <c r="AH244" s="12"/>
    </row>
    <row r="245" spans="1:34" x14ac:dyDescent="0.25">
      <c r="A245" t="s">
        <v>486</v>
      </c>
      <c r="B245" s="2"/>
      <c r="C245" s="2"/>
      <c r="D245" s="8" t="s">
        <v>741</v>
      </c>
      <c r="E245" t="s">
        <v>487</v>
      </c>
      <c r="F245" s="9">
        <v>34.5</v>
      </c>
      <c r="G245" s="9">
        <v>14200</v>
      </c>
      <c r="H245" s="9">
        <v>1551</v>
      </c>
      <c r="I245" s="9">
        <v>11324</v>
      </c>
      <c r="J245" s="9">
        <v>1.3180234624955562</v>
      </c>
      <c r="K245" s="9">
        <v>0.66232334798771675</v>
      </c>
      <c r="L245" s="9">
        <v>7.7781745930520225</v>
      </c>
      <c r="M245" s="9">
        <v>2262.7416997969522</v>
      </c>
      <c r="N245" s="9">
        <v>332.34018715767735</v>
      </c>
      <c r="O245" s="9">
        <v>4491.5422740969498</v>
      </c>
      <c r="P245" s="9">
        <v>0.32296153304958347</v>
      </c>
      <c r="Q245" s="9">
        <v>0.16229222766310727</v>
      </c>
      <c r="R245" s="12" t="s">
        <v>587</v>
      </c>
      <c r="S245" t="s">
        <v>595</v>
      </c>
      <c r="T245" t="s">
        <v>592</v>
      </c>
      <c r="U245" t="s">
        <v>583</v>
      </c>
      <c r="V245" t="s">
        <v>723</v>
      </c>
      <c r="W245" s="12">
        <v>-2.220554999999993</v>
      </c>
      <c r="X245" s="12">
        <v>3.4</v>
      </c>
      <c r="Y245" s="12">
        <v>-16.100000000000009</v>
      </c>
      <c r="Z245" s="12">
        <v>0</v>
      </c>
      <c r="AA245" s="12">
        <v>-8.1</v>
      </c>
      <c r="AB245" s="10">
        <f t="shared" si="3"/>
        <v>3.081011252784819</v>
      </c>
      <c r="AD245" s="12"/>
      <c r="AE245" s="12"/>
      <c r="AF245" s="12"/>
      <c r="AG245" s="12"/>
      <c r="AH245" s="12"/>
    </row>
    <row r="246" spans="1:34" x14ac:dyDescent="0.25">
      <c r="A246" t="s">
        <v>488</v>
      </c>
      <c r="B246" s="2"/>
      <c r="C246" s="2"/>
      <c r="D246" s="8" t="s">
        <v>741</v>
      </c>
      <c r="E246" t="s">
        <v>489</v>
      </c>
      <c r="F246" s="9">
        <v>40.966666666666669</v>
      </c>
      <c r="G246" s="9">
        <v>11900</v>
      </c>
      <c r="H246" s="9">
        <v>3669</v>
      </c>
      <c r="I246" s="9">
        <v>11077</v>
      </c>
      <c r="J246" s="9">
        <v>1.3022160202791693</v>
      </c>
      <c r="K246" s="9">
        <v>0.65437990968802473</v>
      </c>
      <c r="L246" s="9">
        <v>6.9408612978185458</v>
      </c>
      <c r="M246" s="9">
        <v>1451.436070471816</v>
      </c>
      <c r="N246" s="9">
        <v>1751.7345689344604</v>
      </c>
      <c r="O246" s="9">
        <v>5965.4758401991703</v>
      </c>
      <c r="P246" s="9">
        <v>0.43537029477179767</v>
      </c>
      <c r="Q246" s="9">
        <v>0.2187790425988933</v>
      </c>
      <c r="R246" s="12" t="s">
        <v>587</v>
      </c>
      <c r="S246" t="s">
        <v>625</v>
      </c>
      <c r="T246" t="s">
        <v>617</v>
      </c>
      <c r="U246" t="s">
        <v>618</v>
      </c>
      <c r="V246" t="s">
        <v>734</v>
      </c>
      <c r="W246" s="12">
        <v>-3.3010150000000138</v>
      </c>
      <c r="X246" s="12">
        <v>5.3</v>
      </c>
      <c r="Y246" s="12">
        <v>-17.099999999999998</v>
      </c>
      <c r="Z246" s="12">
        <v>-1.0000000000000036</v>
      </c>
      <c r="AA246" s="12">
        <v>-9.1</v>
      </c>
      <c r="AB246" s="10">
        <f t="shared" si="3"/>
        <v>3.2960592910056619</v>
      </c>
      <c r="AD246" s="12"/>
      <c r="AE246" s="12"/>
      <c r="AF246" s="12"/>
      <c r="AG246" s="12"/>
      <c r="AH246" s="12"/>
    </row>
    <row r="247" spans="1:34" x14ac:dyDescent="0.25">
      <c r="A247" t="s">
        <v>490</v>
      </c>
      <c r="B247" s="2"/>
      <c r="C247" s="2"/>
      <c r="D247" s="8" t="s">
        <v>741</v>
      </c>
      <c r="E247" t="s">
        <v>491</v>
      </c>
      <c r="F247" s="9">
        <v>52.9</v>
      </c>
      <c r="G247" s="9">
        <v>14166.666666666666</v>
      </c>
      <c r="H247" s="9">
        <v>415.66666666666669</v>
      </c>
      <c r="I247" s="9">
        <v>11825.666666666666</v>
      </c>
      <c r="J247" s="9">
        <v>1.2972968511165444</v>
      </c>
      <c r="K247" s="9">
        <v>0.65190796538519813</v>
      </c>
      <c r="L247" s="9">
        <v>0.87177978870813488</v>
      </c>
      <c r="M247" s="9">
        <v>2514.6238950056354</v>
      </c>
      <c r="N247" s="9">
        <v>96.365623192782508</v>
      </c>
      <c r="O247" s="9">
        <v>4912.7056021436238</v>
      </c>
      <c r="P247" s="9">
        <v>0.36255977442924314</v>
      </c>
      <c r="Q247" s="9">
        <v>0.18219084142173023</v>
      </c>
      <c r="R247" s="12" t="s">
        <v>587</v>
      </c>
      <c r="S247" t="s">
        <v>591</v>
      </c>
      <c r="T247" t="s">
        <v>592</v>
      </c>
      <c r="U247" t="s">
        <v>583</v>
      </c>
      <c r="V247" t="s">
        <v>731</v>
      </c>
      <c r="W247" s="12">
        <v>-3.0109699999999937</v>
      </c>
      <c r="X247" s="12">
        <v>5</v>
      </c>
      <c r="Y247" s="12">
        <v>-21.5</v>
      </c>
      <c r="Z247" s="12">
        <v>-0.60000000000000142</v>
      </c>
      <c r="AA247" s="12">
        <v>-9</v>
      </c>
      <c r="AB247" s="10">
        <f t="shared" si="3"/>
        <v>3.2684096918273156</v>
      </c>
      <c r="AD247" s="12"/>
      <c r="AE247" s="12"/>
      <c r="AF247" s="12"/>
      <c r="AG247" s="12"/>
      <c r="AH247" s="12"/>
    </row>
    <row r="248" spans="1:34" x14ac:dyDescent="0.25">
      <c r="A248" t="s">
        <v>492</v>
      </c>
      <c r="B248" s="2"/>
      <c r="C248" s="2"/>
      <c r="D248" s="8" t="s">
        <v>741</v>
      </c>
      <c r="E248" t="s">
        <v>493</v>
      </c>
      <c r="F248" s="9">
        <v>42.300000000000004</v>
      </c>
      <c r="G248" s="9">
        <v>15266.666666666666</v>
      </c>
      <c r="H248" s="9">
        <v>818.33333333333337</v>
      </c>
      <c r="I248" s="9">
        <v>12131.666666666666</v>
      </c>
      <c r="J248" s="9">
        <v>1.2813858915235634</v>
      </c>
      <c r="K248" s="9">
        <v>0.64391250830329816</v>
      </c>
      <c r="L248" s="9">
        <v>21.606249096037015</v>
      </c>
      <c r="M248" s="9">
        <v>2458.3192089989684</v>
      </c>
      <c r="N248" s="9">
        <v>113.22691081776175</v>
      </c>
      <c r="O248" s="9">
        <v>2986.7220046956736</v>
      </c>
      <c r="P248" s="9">
        <v>0.14858576855361375</v>
      </c>
      <c r="Q248" s="9">
        <v>7.4666215353574747E-2</v>
      </c>
      <c r="R248" s="12" t="s">
        <v>587</v>
      </c>
      <c r="S248" t="s">
        <v>594</v>
      </c>
      <c r="T248" t="s">
        <v>592</v>
      </c>
      <c r="U248" t="s">
        <v>583</v>
      </c>
      <c r="V248" t="s">
        <v>723</v>
      </c>
      <c r="W248" s="12">
        <v>-2.220554999999993</v>
      </c>
      <c r="X248" s="12">
        <v>0.8</v>
      </c>
      <c r="Y248" s="12">
        <v>-22.5</v>
      </c>
      <c r="Z248" s="12">
        <v>0</v>
      </c>
      <c r="AA248" s="12">
        <v>-8.1</v>
      </c>
      <c r="AB248" s="10">
        <f t="shared" si="3"/>
        <v>3.2871105994461751</v>
      </c>
      <c r="AD248" s="12"/>
      <c r="AE248" s="12"/>
      <c r="AF248" s="12"/>
      <c r="AG248" s="12"/>
      <c r="AH248" s="12"/>
    </row>
    <row r="249" spans="1:34" x14ac:dyDescent="0.25">
      <c r="A249" t="s">
        <v>494</v>
      </c>
      <c r="B249" s="2"/>
      <c r="C249" s="2"/>
      <c r="D249" s="8" t="s">
        <v>741</v>
      </c>
      <c r="E249" t="s">
        <v>495</v>
      </c>
      <c r="F249" s="9">
        <v>49.300000000000004</v>
      </c>
      <c r="G249" s="9">
        <v>13866.666666666666</v>
      </c>
      <c r="H249" s="9">
        <v>419.33333333333331</v>
      </c>
      <c r="I249" s="9">
        <v>10969.333333333334</v>
      </c>
      <c r="J249" s="9">
        <v>1.2680088986365687</v>
      </c>
      <c r="K249" s="9">
        <v>0.63719040132490889</v>
      </c>
      <c r="L249" s="9">
        <v>27.750135134806094</v>
      </c>
      <c r="M249" s="9">
        <v>1429.4521094927711</v>
      </c>
      <c r="N249" s="9">
        <v>32.347076117221683</v>
      </c>
      <c r="O249" s="9">
        <v>1442.2279061692516</v>
      </c>
      <c r="P249" s="9">
        <v>5.3889972827834746E-2</v>
      </c>
      <c r="Q249" s="9">
        <v>2.7080388355695852E-2</v>
      </c>
      <c r="R249" s="12" t="s">
        <v>587</v>
      </c>
      <c r="S249" t="s">
        <v>590</v>
      </c>
      <c r="T249" t="s">
        <v>586</v>
      </c>
      <c r="U249" t="s">
        <v>583</v>
      </c>
      <c r="V249" t="s">
        <v>731</v>
      </c>
      <c r="W249" s="12">
        <v>-3.0109699999999937</v>
      </c>
      <c r="X249" s="12">
        <v>0.8</v>
      </c>
      <c r="Y249" s="12">
        <v>-11.6</v>
      </c>
      <c r="Z249" s="12">
        <v>-0.59999999999999964</v>
      </c>
      <c r="AA249" s="12">
        <v>-9</v>
      </c>
      <c r="AB249" s="10">
        <f t="shared" si="3"/>
        <v>4.1257506541791589</v>
      </c>
      <c r="AD249" s="12"/>
      <c r="AE249" s="12"/>
      <c r="AF249" s="12"/>
      <c r="AG249" s="12"/>
      <c r="AH249" s="12"/>
    </row>
    <row r="250" spans="1:34" x14ac:dyDescent="0.25">
      <c r="A250" t="s">
        <v>496</v>
      </c>
      <c r="B250" s="2"/>
      <c r="C250" s="2"/>
      <c r="D250" s="8" t="s">
        <v>741</v>
      </c>
      <c r="E250" t="s">
        <v>497</v>
      </c>
      <c r="F250" s="9">
        <v>46.650000000000006</v>
      </c>
      <c r="G250" s="9">
        <v>13500</v>
      </c>
      <c r="H250" s="9">
        <v>415</v>
      </c>
      <c r="I250" s="9">
        <v>11602.5</v>
      </c>
      <c r="J250" s="9">
        <v>1.2486536747898183</v>
      </c>
      <c r="K250" s="9">
        <v>0.62746415818583834</v>
      </c>
      <c r="L250" s="9">
        <v>2.7577164466275343</v>
      </c>
      <c r="M250" s="9">
        <v>3818.3766184073565</v>
      </c>
      <c r="N250" s="9">
        <v>131.52186130069785</v>
      </c>
      <c r="O250" s="9">
        <v>6077.5827842983763</v>
      </c>
      <c r="P250" s="9">
        <v>0.32496612445991402</v>
      </c>
      <c r="Q250" s="9">
        <v>0.16329956003010754</v>
      </c>
      <c r="R250" s="12" t="s">
        <v>587</v>
      </c>
      <c r="S250" t="s">
        <v>590</v>
      </c>
      <c r="T250" t="s">
        <v>586</v>
      </c>
      <c r="U250" t="s">
        <v>583</v>
      </c>
      <c r="V250" t="s">
        <v>736</v>
      </c>
      <c r="W250" s="12">
        <v>-3.7121000000000057</v>
      </c>
      <c r="X250" s="12">
        <v>0.8</v>
      </c>
      <c r="Y250" s="12">
        <v>-11.6</v>
      </c>
      <c r="Z250" s="12">
        <v>-0.59999999999999964</v>
      </c>
      <c r="AA250" s="12">
        <v>-9</v>
      </c>
      <c r="AB250" s="10">
        <f t="shared" si="3"/>
        <v>3.2956673326828061</v>
      </c>
      <c r="AD250" s="12"/>
      <c r="AE250" s="12"/>
      <c r="AF250" s="12"/>
      <c r="AG250" s="12"/>
      <c r="AH250" s="12"/>
    </row>
    <row r="251" spans="1:34" x14ac:dyDescent="0.25">
      <c r="A251" t="s">
        <v>498</v>
      </c>
      <c r="B251" s="2"/>
      <c r="C251" s="2"/>
      <c r="D251" s="8" t="s">
        <v>741</v>
      </c>
      <c r="E251" t="s">
        <v>499</v>
      </c>
      <c r="F251" s="9">
        <v>51.05</v>
      </c>
      <c r="G251" s="9">
        <v>12200</v>
      </c>
      <c r="H251" s="9">
        <v>370.5</v>
      </c>
      <c r="I251" s="9">
        <v>10400</v>
      </c>
      <c r="J251" s="9">
        <v>1.2467358897913026</v>
      </c>
      <c r="K251" s="9">
        <v>0.62650044713130781</v>
      </c>
      <c r="L251" s="9">
        <v>1.2020815280171278</v>
      </c>
      <c r="M251" s="9">
        <v>2404.1630560342614</v>
      </c>
      <c r="N251" s="9">
        <v>14.849242404917497</v>
      </c>
      <c r="O251" s="9">
        <v>4666.9047558312141</v>
      </c>
      <c r="P251" s="9">
        <v>0.32829178820175331</v>
      </c>
      <c r="Q251" s="9">
        <v>0.16497074784007704</v>
      </c>
      <c r="R251" s="12" t="s">
        <v>587</v>
      </c>
      <c r="S251" t="s">
        <v>595</v>
      </c>
      <c r="T251" t="s">
        <v>592</v>
      </c>
      <c r="U251" t="s">
        <v>583</v>
      </c>
      <c r="V251" t="s">
        <v>736</v>
      </c>
      <c r="W251" s="12">
        <v>-3.7121000000000057</v>
      </c>
      <c r="X251" s="12">
        <v>3.4</v>
      </c>
      <c r="Y251" s="12">
        <v>-16.100000000000009</v>
      </c>
      <c r="Z251" s="12">
        <v>-0.39999999999999147</v>
      </c>
      <c r="AA251" s="12">
        <v>-8.1</v>
      </c>
      <c r="AB251" s="10">
        <f t="shared" si="3"/>
        <v>2.3141733745805215</v>
      </c>
      <c r="AD251" s="12"/>
      <c r="AE251" s="12"/>
      <c r="AF251" s="12"/>
      <c r="AG251" s="12"/>
      <c r="AH251" s="12"/>
    </row>
    <row r="252" spans="1:34" x14ac:dyDescent="0.25">
      <c r="A252" t="s">
        <v>500</v>
      </c>
      <c r="B252" s="2"/>
      <c r="C252" s="2"/>
      <c r="D252" s="8" t="s">
        <v>741</v>
      </c>
      <c r="E252" t="s">
        <v>501</v>
      </c>
      <c r="F252" s="9">
        <v>43.199999999999996</v>
      </c>
      <c r="G252" s="9">
        <v>12394.333333333334</v>
      </c>
      <c r="H252" s="9">
        <v>321</v>
      </c>
      <c r="I252" s="9">
        <v>10131.666666666666</v>
      </c>
      <c r="J252" s="9">
        <v>1.2428803782808429</v>
      </c>
      <c r="K252" s="9">
        <v>0.62456300416122756</v>
      </c>
      <c r="L252" s="9">
        <v>16.114589662786944</v>
      </c>
      <c r="M252" s="9">
        <v>2729.9443828278522</v>
      </c>
      <c r="N252" s="9">
        <v>30.413812651491099</v>
      </c>
      <c r="O252" s="9">
        <v>3040.51185383865</v>
      </c>
      <c r="P252" s="9">
        <v>9.8191146885044892E-2</v>
      </c>
      <c r="Q252" s="9">
        <v>4.9342284866856732E-2</v>
      </c>
      <c r="R252" s="12" t="s">
        <v>587</v>
      </c>
      <c r="S252" t="s">
        <v>610</v>
      </c>
      <c r="T252" t="s">
        <v>579</v>
      </c>
      <c r="U252" t="s">
        <v>583</v>
      </c>
      <c r="V252" t="s">
        <v>731</v>
      </c>
      <c r="W252" s="12">
        <v>-3.0109699999999937</v>
      </c>
      <c r="X252" s="12">
        <v>5</v>
      </c>
      <c r="Y252" s="12">
        <v>-9.2000000000000011</v>
      </c>
      <c r="Z252" s="12">
        <v>-0.59999999999999964</v>
      </c>
      <c r="AA252" s="12">
        <v>-7</v>
      </c>
      <c r="AB252" s="10">
        <f t="shared" si="3"/>
        <v>2.0664384053556031</v>
      </c>
      <c r="AD252" s="12"/>
      <c r="AE252" s="12"/>
      <c r="AF252" s="12"/>
      <c r="AG252" s="12"/>
      <c r="AH252" s="12"/>
    </row>
    <row r="253" spans="1:34" x14ac:dyDescent="0.25">
      <c r="A253" t="s">
        <v>502</v>
      </c>
      <c r="B253" s="2"/>
      <c r="C253" s="2"/>
      <c r="D253" s="8" t="s">
        <v>741</v>
      </c>
      <c r="E253" t="s">
        <v>503</v>
      </c>
      <c r="F253" s="9">
        <v>55.1</v>
      </c>
      <c r="G253" s="9">
        <v>13900</v>
      </c>
      <c r="H253" s="9">
        <v>4553</v>
      </c>
      <c r="I253" s="9">
        <v>13433.666666666666</v>
      </c>
      <c r="J253" s="9">
        <v>1.2311997275557351</v>
      </c>
      <c r="K253" s="9">
        <v>0.61869333043001762</v>
      </c>
      <c r="L253" s="9">
        <v>29.101660891891829</v>
      </c>
      <c r="M253" s="9">
        <v>1714.6428199482248</v>
      </c>
      <c r="N253" s="9">
        <v>4357.2248813512788</v>
      </c>
      <c r="O253" s="9">
        <v>6521.5898027670792</v>
      </c>
      <c r="P253" s="9">
        <v>0.41547176224705129</v>
      </c>
      <c r="Q253" s="9">
        <v>0.20877978002364386</v>
      </c>
      <c r="R253" s="12" t="s">
        <v>652</v>
      </c>
      <c r="S253" t="s">
        <v>656</v>
      </c>
      <c r="T253" t="s">
        <v>614</v>
      </c>
      <c r="U253" t="s">
        <v>572</v>
      </c>
      <c r="V253" t="s">
        <v>728</v>
      </c>
      <c r="W253" s="12">
        <v>-2.9070350000000036</v>
      </c>
      <c r="X253" s="12">
        <v>5.8</v>
      </c>
      <c r="Y253" s="12">
        <v>-12</v>
      </c>
      <c r="Z253" s="12">
        <v>-2.5</v>
      </c>
      <c r="AA253" s="12">
        <v>-9.1</v>
      </c>
      <c r="AB253" s="10">
        <f t="shared" si="3"/>
        <v>4.3134441316723056</v>
      </c>
      <c r="AD253" s="12"/>
      <c r="AE253" s="12"/>
      <c r="AF253" s="12"/>
      <c r="AG253" s="12"/>
      <c r="AH253" s="12"/>
    </row>
    <row r="254" spans="1:34" x14ac:dyDescent="0.25">
      <c r="A254" t="s">
        <v>504</v>
      </c>
      <c r="B254" s="2"/>
      <c r="C254" s="2"/>
      <c r="D254" s="8" t="s">
        <v>741</v>
      </c>
      <c r="E254" t="s">
        <v>505</v>
      </c>
      <c r="F254" s="9">
        <v>40.950000000000003</v>
      </c>
      <c r="G254" s="9">
        <v>14100</v>
      </c>
      <c r="H254" s="9">
        <v>381.5</v>
      </c>
      <c r="I254" s="9">
        <v>13753</v>
      </c>
      <c r="J254" s="9">
        <v>1.2080696672951929</v>
      </c>
      <c r="K254" s="9">
        <v>0.6070701845704487</v>
      </c>
      <c r="L254" s="9">
        <v>13.65</v>
      </c>
      <c r="M254" s="9">
        <v>1800</v>
      </c>
      <c r="N254" s="9">
        <v>103.5</v>
      </c>
      <c r="O254" s="9">
        <v>6147</v>
      </c>
      <c r="P254" s="9">
        <v>0.40907469242082051</v>
      </c>
      <c r="Q254" s="9">
        <v>0.20556517207076408</v>
      </c>
      <c r="R254" s="12" t="s">
        <v>587</v>
      </c>
      <c r="S254" t="s">
        <v>683</v>
      </c>
      <c r="T254" t="s">
        <v>684</v>
      </c>
      <c r="U254" t="s">
        <v>631</v>
      </c>
      <c r="V254" t="s">
        <v>721</v>
      </c>
      <c r="W254" s="12">
        <v>-3.7230100000000093</v>
      </c>
      <c r="X254" s="12">
        <v>3.4</v>
      </c>
      <c r="Y254" s="12">
        <v>-16.399999999999999</v>
      </c>
      <c r="Z254" s="12">
        <v>0</v>
      </c>
      <c r="AA254" s="12">
        <v>-7.5</v>
      </c>
      <c r="AB254" s="10">
        <f t="shared" si="3"/>
        <v>1.8495410191729293</v>
      </c>
      <c r="AD254" s="12"/>
      <c r="AE254" s="12"/>
      <c r="AF254" s="12"/>
      <c r="AG254" s="12"/>
      <c r="AH254" s="12"/>
    </row>
    <row r="255" spans="1:34" x14ac:dyDescent="0.25">
      <c r="A255" t="s">
        <v>506</v>
      </c>
      <c r="B255" s="2"/>
      <c r="C255" s="2"/>
      <c r="D255" s="8" t="s">
        <v>741</v>
      </c>
      <c r="E255" t="s">
        <v>507</v>
      </c>
      <c r="F255" s="9">
        <v>49.849999999999994</v>
      </c>
      <c r="G255" s="9">
        <v>11230.5</v>
      </c>
      <c r="H255" s="9">
        <v>1863.2</v>
      </c>
      <c r="I255" s="9">
        <v>11660.25</v>
      </c>
      <c r="J255" s="9">
        <v>1.205191347516547</v>
      </c>
      <c r="K255" s="9">
        <v>0.60562379272188294</v>
      </c>
      <c r="L255" s="9">
        <v>8.6583774461500962</v>
      </c>
      <c r="M255" s="9">
        <v>4829.9211432486145</v>
      </c>
      <c r="N255" s="9">
        <v>1258.7181654365681</v>
      </c>
      <c r="O255" s="9">
        <v>9033.275413021569</v>
      </c>
      <c r="P255" s="9">
        <v>0.3408907052496491</v>
      </c>
      <c r="Q255" s="9">
        <v>0.17130186193449704</v>
      </c>
      <c r="R255" s="12" t="s">
        <v>587</v>
      </c>
      <c r="S255" t="s">
        <v>678</v>
      </c>
      <c r="T255" t="s">
        <v>679</v>
      </c>
      <c r="U255" t="s">
        <v>572</v>
      </c>
      <c r="V255" t="s">
        <v>734</v>
      </c>
      <c r="W255" s="12">
        <v>-3.3010150000000138</v>
      </c>
      <c r="X255" s="12">
        <v>4.5</v>
      </c>
      <c r="Y255" s="12">
        <v>-15.299999999999997</v>
      </c>
      <c r="Z255" s="12">
        <v>-2.2000000000000028</v>
      </c>
      <c r="AA255" s="12">
        <v>-7.5</v>
      </c>
      <c r="AB255" s="10">
        <f t="shared" si="3"/>
        <v>3.2913147180316917</v>
      </c>
      <c r="AD255" s="12"/>
      <c r="AE255" s="12"/>
      <c r="AF255" s="12"/>
      <c r="AG255" s="12"/>
      <c r="AH255" s="12"/>
    </row>
    <row r="256" spans="1:34" x14ac:dyDescent="0.25">
      <c r="A256" t="s">
        <v>508</v>
      </c>
      <c r="B256" s="2"/>
      <c r="C256" s="2"/>
      <c r="D256" s="8" t="s">
        <v>741</v>
      </c>
      <c r="E256" t="s">
        <v>509</v>
      </c>
      <c r="F256" s="9">
        <v>41.133333333333333</v>
      </c>
      <c r="G256" s="9">
        <v>13966.666666666666</v>
      </c>
      <c r="H256" s="9">
        <v>426.66666666666669</v>
      </c>
      <c r="I256" s="9">
        <v>11933.333333333334</v>
      </c>
      <c r="J256" s="9">
        <v>1.1800073410718774</v>
      </c>
      <c r="K256" s="9">
        <v>0.59296851310144594</v>
      </c>
      <c r="L256" s="9">
        <v>12.141389267021028</v>
      </c>
      <c r="M256" s="9">
        <v>1913.9836293274072</v>
      </c>
      <c r="N256" s="9">
        <v>52.937069557478473</v>
      </c>
      <c r="O256" s="9">
        <v>2236.8132093076847</v>
      </c>
      <c r="P256" s="9">
        <v>0.11916832788826673</v>
      </c>
      <c r="Q256" s="9">
        <v>5.9883581853400369E-2</v>
      </c>
      <c r="R256" s="12" t="s">
        <v>587</v>
      </c>
      <c r="S256" t="s">
        <v>600</v>
      </c>
      <c r="T256" t="s">
        <v>579</v>
      </c>
      <c r="U256" t="s">
        <v>583</v>
      </c>
      <c r="V256" t="s">
        <v>736</v>
      </c>
      <c r="W256" s="12">
        <v>-3.7121000000000057</v>
      </c>
      <c r="X256" s="12">
        <v>3.4</v>
      </c>
      <c r="Y256" s="12">
        <v>-11.6</v>
      </c>
      <c r="Z256" s="12">
        <v>-0.59999999999999964</v>
      </c>
      <c r="AA256" s="12">
        <v>-7</v>
      </c>
      <c r="AB256" s="10">
        <f t="shared" si="3"/>
        <v>1.8915266537171718</v>
      </c>
      <c r="AD256" s="12"/>
      <c r="AE256" s="12"/>
      <c r="AF256" s="12"/>
      <c r="AG256" s="12"/>
      <c r="AH256" s="12"/>
    </row>
    <row r="257" spans="1:34" x14ac:dyDescent="0.25">
      <c r="A257" t="s">
        <v>510</v>
      </c>
      <c r="B257" s="2"/>
      <c r="C257" s="2"/>
      <c r="D257" s="8" t="s">
        <v>741</v>
      </c>
      <c r="E257" t="s">
        <v>511</v>
      </c>
      <c r="F257" s="9">
        <v>37.366666666666667</v>
      </c>
      <c r="G257" s="9">
        <v>11827</v>
      </c>
      <c r="H257" s="9">
        <v>1359.6666666666667</v>
      </c>
      <c r="I257" s="9">
        <v>10748</v>
      </c>
      <c r="J257" s="9">
        <v>1.1638701887559102</v>
      </c>
      <c r="K257" s="9">
        <v>0.58485939133462828</v>
      </c>
      <c r="L257" s="9">
        <v>11.060440015358045</v>
      </c>
      <c r="M257" s="9">
        <v>2649.7333828142032</v>
      </c>
      <c r="N257" s="9">
        <v>287.66357665393355</v>
      </c>
      <c r="O257" s="9">
        <v>4123.1192075902927</v>
      </c>
      <c r="P257" s="9">
        <v>0.25145512416405791</v>
      </c>
      <c r="Q257" s="9">
        <v>0.126359358876411</v>
      </c>
      <c r="R257" s="12" t="s">
        <v>587</v>
      </c>
      <c r="S257" t="s">
        <v>601</v>
      </c>
      <c r="T257" t="s">
        <v>592</v>
      </c>
      <c r="U257" t="s">
        <v>583</v>
      </c>
      <c r="V257" t="s">
        <v>736</v>
      </c>
      <c r="W257" s="12">
        <v>-3.7121000000000057</v>
      </c>
      <c r="X257" s="12">
        <v>5</v>
      </c>
      <c r="Y257" s="12">
        <v>-16.800000000000004</v>
      </c>
      <c r="Z257" s="12">
        <v>-0.59999999999999432</v>
      </c>
      <c r="AA257" s="12">
        <v>-7</v>
      </c>
      <c r="AB257" s="10">
        <f t="shared" si="3"/>
        <v>1.80109441021351</v>
      </c>
      <c r="AD257" s="12"/>
      <c r="AE257" s="12"/>
      <c r="AF257" s="12"/>
      <c r="AG257" s="12"/>
      <c r="AH257" s="12"/>
    </row>
    <row r="258" spans="1:34" x14ac:dyDescent="0.25">
      <c r="A258" t="s">
        <v>512</v>
      </c>
      <c r="B258" s="2"/>
      <c r="C258" s="2"/>
      <c r="D258" s="8" t="s">
        <v>741</v>
      </c>
      <c r="E258" t="s">
        <v>513</v>
      </c>
      <c r="F258" s="9">
        <v>44</v>
      </c>
      <c r="G258" s="9">
        <v>12733.333333333334</v>
      </c>
      <c r="H258" s="9">
        <v>403.66666666666669</v>
      </c>
      <c r="I258" s="9">
        <v>11526.333333333334</v>
      </c>
      <c r="J258" s="9">
        <v>1.1587733784738867</v>
      </c>
      <c r="K258" s="9">
        <v>0.58229818013763157</v>
      </c>
      <c r="L258" s="9">
        <v>14.936867141405513</v>
      </c>
      <c r="M258" s="9">
        <v>2212.0880030716098</v>
      </c>
      <c r="N258" s="9">
        <v>65.271228985927195</v>
      </c>
      <c r="O258" s="9">
        <v>3735.288520761595</v>
      </c>
      <c r="P258" s="9">
        <v>0.26043313294176662</v>
      </c>
      <c r="Q258" s="9">
        <v>0.13087092107626463</v>
      </c>
      <c r="R258" s="12" t="s">
        <v>664</v>
      </c>
      <c r="S258" t="s">
        <v>666</v>
      </c>
      <c r="T258" t="s">
        <v>585</v>
      </c>
      <c r="U258" t="s">
        <v>583</v>
      </c>
      <c r="V258" t="s">
        <v>738</v>
      </c>
      <c r="W258" s="12">
        <v>-3.1094700000000013</v>
      </c>
      <c r="X258" s="12">
        <v>5</v>
      </c>
      <c r="Y258" s="12">
        <v>-16.5</v>
      </c>
      <c r="Z258" s="12">
        <v>-4.6000000000000014</v>
      </c>
      <c r="AA258" s="12">
        <v>-7.7999999999999989</v>
      </c>
      <c r="AB258" s="10">
        <f t="shared" si="3"/>
        <v>5.9661673822025589</v>
      </c>
      <c r="AD258" s="12"/>
      <c r="AE258" s="12"/>
      <c r="AF258" s="12"/>
      <c r="AG258" s="12"/>
      <c r="AH258" s="12"/>
    </row>
    <row r="259" spans="1:34" x14ac:dyDescent="0.25">
      <c r="A259" t="s">
        <v>514</v>
      </c>
      <c r="B259" s="2"/>
      <c r="C259" s="2"/>
      <c r="D259" s="8" t="s">
        <v>741</v>
      </c>
      <c r="E259" t="s">
        <v>515</v>
      </c>
      <c r="F259" s="9">
        <v>41.300000000000004</v>
      </c>
      <c r="G259" s="9">
        <v>15100</v>
      </c>
      <c r="H259" s="9">
        <v>2312.3333333333335</v>
      </c>
      <c r="I259" s="9">
        <v>13152.666666666666</v>
      </c>
      <c r="J259" s="9">
        <v>1.1576134166893066</v>
      </c>
      <c r="K259" s="9">
        <v>0.58171528476849577</v>
      </c>
      <c r="L259" s="9">
        <v>11.335195925376279</v>
      </c>
      <c r="M259" s="9">
        <v>3942.0806688854045</v>
      </c>
      <c r="N259" s="9">
        <v>1597.3929454652734</v>
      </c>
      <c r="O259" s="9">
        <v>3796.1666044694202</v>
      </c>
      <c r="P259" s="9">
        <v>3.8016925590507594E-2</v>
      </c>
      <c r="Q259" s="9">
        <v>1.9103982708797786E-2</v>
      </c>
      <c r="R259" s="12" t="s">
        <v>573</v>
      </c>
      <c r="S259" t="s">
        <v>690</v>
      </c>
      <c r="T259" t="s">
        <v>630</v>
      </c>
      <c r="U259" t="s">
        <v>631</v>
      </c>
      <c r="V259" t="s">
        <v>739</v>
      </c>
      <c r="W259" s="12">
        <v>-3.0876699999999984</v>
      </c>
      <c r="X259" s="12">
        <v>4.7</v>
      </c>
      <c r="Y259" s="12">
        <v>-17.2</v>
      </c>
      <c r="Z259" s="12">
        <v>-3.6000000000000014</v>
      </c>
      <c r="AA259" s="12">
        <v>-8</v>
      </c>
      <c r="AB259" s="10">
        <f t="shared" ref="AB259:AB266" si="4">1+1/(0.005*EXP(0.6*X259)+6*EXP(0.45*(Z259+AA259-W259))*(1+0.005*EXP(0.6*X259)))</f>
        <v>5.444620289574174</v>
      </c>
      <c r="AD259" s="12"/>
      <c r="AE259" s="12"/>
      <c r="AF259" s="12"/>
      <c r="AG259" s="12"/>
      <c r="AH259" s="12"/>
    </row>
    <row r="260" spans="1:34" x14ac:dyDescent="0.25">
      <c r="A260" t="s">
        <v>516</v>
      </c>
      <c r="B260" s="2"/>
      <c r="C260" s="2"/>
      <c r="D260" s="8" t="s">
        <v>741</v>
      </c>
      <c r="E260" t="s">
        <v>517</v>
      </c>
      <c r="F260" s="9">
        <v>52.366666666666667</v>
      </c>
      <c r="G260" s="9">
        <v>14533.333333333334</v>
      </c>
      <c r="H260" s="9">
        <v>3656</v>
      </c>
      <c r="I260" s="9">
        <v>14206</v>
      </c>
      <c r="J260" s="9">
        <v>1.1123977280202768</v>
      </c>
      <c r="K260" s="9">
        <v>0.55899383317601847</v>
      </c>
      <c r="L260" s="9">
        <v>4.1120419366646663</v>
      </c>
      <c r="M260" s="9">
        <v>3267.3468679580924</v>
      </c>
      <c r="N260" s="9">
        <v>2569.2435981562098</v>
      </c>
      <c r="O260" s="9">
        <v>6217.7760225555458</v>
      </c>
      <c r="P260" s="9">
        <v>0.21563720785331628</v>
      </c>
      <c r="Q260" s="9">
        <v>0.10836040595644034</v>
      </c>
      <c r="R260" s="12" t="s">
        <v>587</v>
      </c>
      <c r="S260" t="s">
        <v>616</v>
      </c>
      <c r="T260" t="s">
        <v>617</v>
      </c>
      <c r="U260" t="s">
        <v>618</v>
      </c>
      <c r="V260" t="s">
        <v>734</v>
      </c>
      <c r="W260" s="12">
        <v>-3.3010150000000138</v>
      </c>
      <c r="X260" s="12">
        <v>5.3</v>
      </c>
      <c r="Y260" s="12">
        <v>-19.099999999999998</v>
      </c>
      <c r="Z260" s="12">
        <v>-1.0000000000000036</v>
      </c>
      <c r="AA260" s="12">
        <v>-9.1</v>
      </c>
      <c r="AB260" s="10">
        <f t="shared" si="4"/>
        <v>3.2960592910056619</v>
      </c>
      <c r="AD260" s="12"/>
      <c r="AE260" s="12"/>
      <c r="AF260" s="12"/>
      <c r="AG260" s="12"/>
      <c r="AH260" s="12"/>
    </row>
    <row r="261" spans="1:34" x14ac:dyDescent="0.25">
      <c r="A261" t="s">
        <v>518</v>
      </c>
      <c r="B261" s="2"/>
      <c r="C261" s="2"/>
      <c r="D261" s="8" t="s">
        <v>741</v>
      </c>
      <c r="E261" t="s">
        <v>519</v>
      </c>
      <c r="F261" s="9">
        <v>44.733333333333327</v>
      </c>
      <c r="G261" s="9">
        <v>14633.333333333334</v>
      </c>
      <c r="H261" s="9">
        <v>1709</v>
      </c>
      <c r="I261" s="9">
        <v>13792.333333333334</v>
      </c>
      <c r="J261" s="9">
        <v>1.1044348464268861</v>
      </c>
      <c r="K261" s="9">
        <v>0.55499238513913873</v>
      </c>
      <c r="L261" s="9">
        <v>9.8523544845325972</v>
      </c>
      <c r="M261" s="9">
        <v>4404.7953666682661</v>
      </c>
      <c r="N261" s="9">
        <v>302.10373494325864</v>
      </c>
      <c r="O261" s="9">
        <v>5639.8626657826417</v>
      </c>
      <c r="P261" s="9">
        <v>0.10700727775026275</v>
      </c>
      <c r="Q261" s="9">
        <v>5.3772501382041586E-2</v>
      </c>
      <c r="R261" s="12" t="s">
        <v>587</v>
      </c>
      <c r="S261" t="s">
        <v>683</v>
      </c>
      <c r="T261" t="s">
        <v>684</v>
      </c>
      <c r="U261" t="s">
        <v>631</v>
      </c>
      <c r="V261" t="s">
        <v>734</v>
      </c>
      <c r="W261" s="12">
        <v>-3.3010150000000138</v>
      </c>
      <c r="X261" s="12">
        <v>3.4</v>
      </c>
      <c r="Y261" s="12">
        <v>-16.399999999999999</v>
      </c>
      <c r="Z261" s="12">
        <v>-2.2000000000000028</v>
      </c>
      <c r="AA261" s="12">
        <v>-7.5</v>
      </c>
      <c r="AB261" s="10">
        <f t="shared" si="4"/>
        <v>3.5748460894579255</v>
      </c>
      <c r="AD261" s="12"/>
      <c r="AE261" s="12"/>
      <c r="AF261" s="12"/>
      <c r="AG261" s="12"/>
      <c r="AH261" s="12"/>
    </row>
    <row r="262" spans="1:34" x14ac:dyDescent="0.25">
      <c r="A262" t="s">
        <v>520</v>
      </c>
      <c r="B262" s="2"/>
      <c r="C262" s="2"/>
      <c r="D262" s="8" t="s">
        <v>741</v>
      </c>
      <c r="E262" t="s">
        <v>521</v>
      </c>
      <c r="F262" s="9">
        <v>50.933333333333337</v>
      </c>
      <c r="G262" s="9">
        <v>14062.666666666666</v>
      </c>
      <c r="H262" s="9">
        <v>3140.6666666666665</v>
      </c>
      <c r="I262" s="9">
        <v>14190.333333333334</v>
      </c>
      <c r="J262" s="9">
        <v>1.0950719346780424</v>
      </c>
      <c r="K262" s="9">
        <v>0.55028740436082535</v>
      </c>
      <c r="L262" s="9">
        <v>17.383197506660128</v>
      </c>
      <c r="M262" s="9">
        <v>5801.3206159364172</v>
      </c>
      <c r="N262" s="9">
        <v>2395.5534271274814</v>
      </c>
      <c r="O262" s="9">
        <v>8251.257695379265</v>
      </c>
      <c r="P262" s="9">
        <v>0.19562029024440347</v>
      </c>
      <c r="Q262" s="9">
        <v>9.8301653389147467E-2</v>
      </c>
      <c r="R262" s="12" t="s">
        <v>573</v>
      </c>
      <c r="S262" t="s">
        <v>571</v>
      </c>
      <c r="T262" t="s">
        <v>603</v>
      </c>
      <c r="U262" t="s">
        <v>572</v>
      </c>
      <c r="V262" t="s">
        <v>739</v>
      </c>
      <c r="W262" s="12">
        <v>-3.0876699999999984</v>
      </c>
      <c r="X262" s="12">
        <v>5.6</v>
      </c>
      <c r="Y262" s="12">
        <v>-16.299999999999997</v>
      </c>
      <c r="Z262" s="12">
        <v>-3.6000000000000014</v>
      </c>
      <c r="AA262" s="12">
        <v>-8</v>
      </c>
      <c r="AB262" s="10">
        <f t="shared" si="4"/>
        <v>4.4144608330749957</v>
      </c>
      <c r="AD262" s="12"/>
      <c r="AE262" s="12"/>
      <c r="AF262" s="12"/>
      <c r="AG262" s="12"/>
      <c r="AH262" s="12"/>
    </row>
    <row r="263" spans="1:34" x14ac:dyDescent="0.25">
      <c r="A263" t="s">
        <v>522</v>
      </c>
      <c r="B263" s="2"/>
      <c r="C263" s="2"/>
      <c r="D263" s="8" t="s">
        <v>741</v>
      </c>
      <c r="E263" t="s">
        <v>523</v>
      </c>
      <c r="F263" s="9">
        <v>40.233333333333341</v>
      </c>
      <c r="G263" s="9">
        <v>11395</v>
      </c>
      <c r="H263" s="9">
        <v>392.66666666666669</v>
      </c>
      <c r="I263" s="9">
        <v>11031</v>
      </c>
      <c r="J263" s="9">
        <v>1.0907171180672883</v>
      </c>
      <c r="K263" s="9">
        <v>0.54809905430517003</v>
      </c>
      <c r="L263" s="9">
        <v>1.5567059238447496</v>
      </c>
      <c r="M263" s="9">
        <v>2188.052787297418</v>
      </c>
      <c r="N263" s="9">
        <v>48.086727205470467</v>
      </c>
      <c r="O263" s="9">
        <v>3984.2669338286059</v>
      </c>
      <c r="P263" s="9">
        <v>0.2419830402889562</v>
      </c>
      <c r="Q263" s="9">
        <v>0.12159951773314383</v>
      </c>
      <c r="R263" s="12" t="s">
        <v>587</v>
      </c>
      <c r="S263" t="s">
        <v>610</v>
      </c>
      <c r="T263" t="s">
        <v>579</v>
      </c>
      <c r="U263" t="s">
        <v>583</v>
      </c>
      <c r="V263" t="s">
        <v>736</v>
      </c>
      <c r="W263" s="12">
        <v>-3.7121000000000057</v>
      </c>
      <c r="X263" s="12">
        <v>5</v>
      </c>
      <c r="Y263" s="12">
        <v>-9.2000000000000011</v>
      </c>
      <c r="Z263" s="12">
        <v>-0.59999999999999964</v>
      </c>
      <c r="AA263" s="12">
        <v>-7</v>
      </c>
      <c r="AB263" s="10">
        <f t="shared" si="4"/>
        <v>1.8010944102135116</v>
      </c>
      <c r="AD263" s="12"/>
      <c r="AE263" s="12"/>
      <c r="AF263" s="12"/>
      <c r="AG263" s="12"/>
      <c r="AH263" s="12"/>
    </row>
    <row r="264" spans="1:34" x14ac:dyDescent="0.25">
      <c r="A264" t="s">
        <v>524</v>
      </c>
      <c r="B264" s="2"/>
      <c r="C264" s="2"/>
      <c r="D264" s="8" t="s">
        <v>741</v>
      </c>
      <c r="E264" t="s">
        <v>525</v>
      </c>
      <c r="F264" s="9">
        <v>61.550000000000004</v>
      </c>
      <c r="G264" s="9">
        <v>11540</v>
      </c>
      <c r="H264" s="9">
        <v>3833</v>
      </c>
      <c r="I264" s="9">
        <v>16830.5</v>
      </c>
      <c r="J264" s="9">
        <v>1.0003486378740334</v>
      </c>
      <c r="K264" s="9">
        <v>0.50268775772564489</v>
      </c>
      <c r="L264" s="9">
        <v>18.849999999999994</v>
      </c>
      <c r="M264" s="9">
        <v>6360</v>
      </c>
      <c r="N264" s="9">
        <v>1687</v>
      </c>
      <c r="O264" s="9">
        <v>13069.5</v>
      </c>
      <c r="P264" s="9">
        <v>0.40168643051617386</v>
      </c>
      <c r="Q264" s="9">
        <v>0.20185247764631853</v>
      </c>
      <c r="R264" s="12" t="s">
        <v>573</v>
      </c>
      <c r="S264" t="s">
        <v>687</v>
      </c>
      <c r="T264" t="s">
        <v>688</v>
      </c>
      <c r="U264" t="s">
        <v>572</v>
      </c>
      <c r="V264" t="s">
        <v>739</v>
      </c>
      <c r="W264" s="12">
        <v>-3.0876699999999984</v>
      </c>
      <c r="X264" s="12">
        <v>4.5</v>
      </c>
      <c r="Y264" s="12">
        <v>-9</v>
      </c>
      <c r="Z264" s="12">
        <v>-3.5999999999999996</v>
      </c>
      <c r="AA264" s="12">
        <v>-8</v>
      </c>
      <c r="AB264" s="10">
        <f t="shared" si="4"/>
        <v>5.6669956431628226</v>
      </c>
      <c r="AD264" s="12"/>
      <c r="AE264" s="12"/>
      <c r="AF264" s="12"/>
      <c r="AG264" s="12"/>
      <c r="AH264" s="12"/>
    </row>
    <row r="265" spans="1:34" x14ac:dyDescent="0.25">
      <c r="A265" t="s">
        <v>526</v>
      </c>
      <c r="B265" s="2"/>
      <c r="C265" s="2"/>
      <c r="D265" s="8" t="s">
        <v>741</v>
      </c>
      <c r="E265" t="s">
        <v>527</v>
      </c>
      <c r="F265" s="9">
        <v>39.199999999999996</v>
      </c>
      <c r="G265" s="9">
        <v>13366.666666666666</v>
      </c>
      <c r="H265" s="9">
        <v>10876.666666666666</v>
      </c>
      <c r="I265" s="9">
        <v>26833.333333333332</v>
      </c>
      <c r="J265" s="9">
        <v>0.82931503945574414</v>
      </c>
      <c r="K265" s="9">
        <v>0.41674122585715784</v>
      </c>
      <c r="L265" s="9">
        <v>6.6272166103123773</v>
      </c>
      <c r="M265" s="9">
        <v>1347.4255287605158</v>
      </c>
      <c r="N265" s="9">
        <v>10186.351402189544</v>
      </c>
      <c r="O265" s="9">
        <v>21189.672536927563</v>
      </c>
      <c r="P265" s="9">
        <v>0.43372776568191623</v>
      </c>
      <c r="Q265" s="9">
        <v>0.21795365109644033</v>
      </c>
      <c r="R265" s="12" t="s">
        <v>674</v>
      </c>
      <c r="S265" t="s">
        <v>695</v>
      </c>
      <c r="T265" t="s">
        <v>696</v>
      </c>
      <c r="U265" t="s">
        <v>572</v>
      </c>
      <c r="V265" t="s">
        <v>732</v>
      </c>
      <c r="W265" s="12">
        <v>-2.6305299999999989</v>
      </c>
      <c r="X265" s="12">
        <v>4.5</v>
      </c>
      <c r="Y265" s="12">
        <v>-8</v>
      </c>
      <c r="Z265" s="12">
        <v>-7.3000000000000007</v>
      </c>
      <c r="AA265" s="12">
        <v>-9.1999999999999993</v>
      </c>
      <c r="AB265" s="10">
        <f t="shared" si="4"/>
        <v>12.50055238634976</v>
      </c>
      <c r="AD265" s="12"/>
      <c r="AE265" s="12"/>
      <c r="AF265" s="12"/>
      <c r="AG265" s="12"/>
      <c r="AH265" s="12"/>
    </row>
    <row r="266" spans="1:34" x14ac:dyDescent="0.25">
      <c r="A266" t="s">
        <v>528</v>
      </c>
      <c r="B266" s="2"/>
      <c r="C266" s="2"/>
      <c r="D266" s="8" t="s">
        <v>741</v>
      </c>
      <c r="E266" t="s">
        <v>529</v>
      </c>
      <c r="F266" s="9">
        <v>51.3</v>
      </c>
      <c r="G266" s="9">
        <v>14750</v>
      </c>
      <c r="H266" s="9">
        <v>6640</v>
      </c>
      <c r="I266" s="9">
        <v>22500</v>
      </c>
      <c r="J266" s="9">
        <v>0.64942757590841205</v>
      </c>
      <c r="K266" s="9">
        <v>0.32634551553186503</v>
      </c>
      <c r="L266" s="9">
        <v>0.40000000000000213</v>
      </c>
      <c r="M266" s="9">
        <v>2850</v>
      </c>
      <c r="N266" s="9">
        <v>4360</v>
      </c>
      <c r="O266" s="9">
        <v>2000</v>
      </c>
      <c r="P266" s="9">
        <v>6.8939771030363542E-2</v>
      </c>
      <c r="Q266" s="9">
        <v>3.4643101020283187E-2</v>
      </c>
      <c r="R266" s="12" t="s">
        <v>573</v>
      </c>
      <c r="S266" t="s">
        <v>689</v>
      </c>
      <c r="T266" t="s">
        <v>581</v>
      </c>
      <c r="U266" t="s">
        <v>631</v>
      </c>
      <c r="V266" t="s">
        <v>739</v>
      </c>
      <c r="W266" s="12">
        <v>-3.0876699999999984</v>
      </c>
      <c r="X266" s="12">
        <v>3.4</v>
      </c>
      <c r="Y266" s="12">
        <v>-10.1</v>
      </c>
      <c r="Z266" s="12">
        <v>-3.5999999999999996</v>
      </c>
      <c r="AA266" s="12">
        <v>-8</v>
      </c>
      <c r="AB266" s="10">
        <f t="shared" si="4"/>
        <v>6.758863545702515</v>
      </c>
      <c r="AD266" s="12"/>
      <c r="AE266" s="12"/>
      <c r="AF266" s="12"/>
      <c r="AG266" s="12"/>
      <c r="AH266" s="12"/>
    </row>
    <row r="267" spans="1:34" x14ac:dyDescent="0.25">
      <c r="B267" s="2"/>
      <c r="C267" s="2"/>
    </row>
    <row r="268" spans="1:34" x14ac:dyDescent="0.25">
      <c r="B268" s="2"/>
      <c r="C268" s="2"/>
    </row>
    <row r="269" spans="1:34" x14ac:dyDescent="0.25">
      <c r="B269" s="2"/>
      <c r="C269" s="2"/>
    </row>
    <row r="270" spans="1:34" x14ac:dyDescent="0.25">
      <c r="B270" s="2"/>
      <c r="C270" s="2"/>
    </row>
    <row r="271" spans="1:34" x14ac:dyDescent="0.25">
      <c r="B271" s="2"/>
      <c r="C271" s="2"/>
    </row>
    <row r="272" spans="1:34" x14ac:dyDescent="0.25">
      <c r="B272" s="2"/>
      <c r="C272" s="2"/>
    </row>
    <row r="273" spans="2:3" x14ac:dyDescent="0.25">
      <c r="B273" s="2"/>
      <c r="C273" s="2"/>
    </row>
    <row r="274" spans="2:3" x14ac:dyDescent="0.25">
      <c r="B274" s="2"/>
      <c r="C274" s="2"/>
    </row>
    <row r="275" spans="2:3" x14ac:dyDescent="0.25">
      <c r="B275" s="2"/>
      <c r="C275" s="2"/>
    </row>
    <row r="276" spans="2:3" x14ac:dyDescent="0.25">
      <c r="B276" s="2"/>
      <c r="C276" s="2"/>
    </row>
    <row r="277" spans="2:3" x14ac:dyDescent="0.25">
      <c r="B277" s="2"/>
      <c r="C277" s="2"/>
    </row>
    <row r="278" spans="2:3" x14ac:dyDescent="0.25">
      <c r="B278" s="2"/>
      <c r="C278" s="2"/>
    </row>
    <row r="279" spans="2:3" x14ac:dyDescent="0.25">
      <c r="B279" s="2"/>
      <c r="C279" s="2"/>
    </row>
    <row r="280" spans="2:3" x14ac:dyDescent="0.25">
      <c r="B280" s="2"/>
      <c r="C280" s="2"/>
    </row>
    <row r="281" spans="2:3" x14ac:dyDescent="0.25">
      <c r="B281" s="2"/>
      <c r="C281" s="2"/>
    </row>
    <row r="282" spans="2:3" x14ac:dyDescent="0.25">
      <c r="B282" s="2"/>
      <c r="C282" s="2"/>
    </row>
    <row r="283" spans="2:3" x14ac:dyDescent="0.25">
      <c r="B283" s="2"/>
      <c r="C283" s="2"/>
    </row>
    <row r="284" spans="2:3" x14ac:dyDescent="0.25">
      <c r="B284" s="2"/>
      <c r="C284" s="2"/>
    </row>
    <row r="285" spans="2:3" x14ac:dyDescent="0.25">
      <c r="B285" s="2"/>
      <c r="C285" s="2"/>
    </row>
    <row r="286" spans="2:3" x14ac:dyDescent="0.25">
      <c r="B286" s="2"/>
      <c r="C286" s="2"/>
    </row>
    <row r="287" spans="2:3" x14ac:dyDescent="0.25">
      <c r="B287" s="2"/>
      <c r="C287" s="2"/>
    </row>
    <row r="288" spans="2:3" x14ac:dyDescent="0.25">
      <c r="B288" s="2"/>
      <c r="C288" s="2"/>
    </row>
    <row r="289" spans="2:3" x14ac:dyDescent="0.25">
      <c r="B289" s="2"/>
      <c r="C289" s="2"/>
    </row>
    <row r="290" spans="2:3" x14ac:dyDescent="0.25">
      <c r="B290" s="2"/>
      <c r="C290" s="2"/>
    </row>
    <row r="291" spans="2:3" x14ac:dyDescent="0.25">
      <c r="B291" s="2"/>
      <c r="C291" s="2"/>
    </row>
    <row r="292" spans="2:3" x14ac:dyDescent="0.25">
      <c r="B292" s="2"/>
      <c r="C292" s="2"/>
    </row>
    <row r="293" spans="2:3" x14ac:dyDescent="0.25">
      <c r="B293" s="2"/>
      <c r="C293" s="2"/>
    </row>
    <row r="294" spans="2:3" x14ac:dyDescent="0.25">
      <c r="B294" s="2"/>
      <c r="C294" s="2"/>
    </row>
    <row r="295" spans="2:3" x14ac:dyDescent="0.25">
      <c r="B295" s="2"/>
      <c r="C295" s="2"/>
    </row>
    <row r="296" spans="2:3" x14ac:dyDescent="0.25">
      <c r="B296" s="2"/>
      <c r="C296" s="2"/>
    </row>
    <row r="297" spans="2:3" x14ac:dyDescent="0.25">
      <c r="B297" s="2"/>
      <c r="C297" s="2"/>
    </row>
    <row r="298" spans="2:3" x14ac:dyDescent="0.25">
      <c r="B298" s="2"/>
      <c r="C298" s="2"/>
    </row>
    <row r="299" spans="2:3" x14ac:dyDescent="0.25">
      <c r="B299" s="2"/>
      <c r="C299" s="2"/>
    </row>
    <row r="300" spans="2:3" x14ac:dyDescent="0.25">
      <c r="B300" s="2"/>
      <c r="C300" s="2"/>
    </row>
    <row r="301" spans="2:3" x14ac:dyDescent="0.25">
      <c r="B301" s="2"/>
      <c r="C301" s="2"/>
    </row>
    <row r="302" spans="2:3" x14ac:dyDescent="0.25">
      <c r="B302" s="2"/>
      <c r="C302" s="2"/>
    </row>
    <row r="303" spans="2:3" x14ac:dyDescent="0.25">
      <c r="B303" s="2"/>
      <c r="C303" s="2"/>
    </row>
    <row r="304" spans="2:3" x14ac:dyDescent="0.25">
      <c r="B304" s="2"/>
      <c r="C304" s="2"/>
    </row>
    <row r="305" spans="2:3" x14ac:dyDescent="0.25">
      <c r="B305" s="2"/>
      <c r="C305" s="2"/>
    </row>
    <row r="306" spans="2:3" x14ac:dyDescent="0.25">
      <c r="B306" s="2"/>
      <c r="C306" s="2"/>
    </row>
    <row r="307" spans="2:3" x14ac:dyDescent="0.25">
      <c r="B307" s="2"/>
      <c r="C307" s="2"/>
    </row>
    <row r="308" spans="2:3" x14ac:dyDescent="0.25">
      <c r="B308" s="2"/>
      <c r="C308" s="2"/>
    </row>
    <row r="309" spans="2:3" x14ac:dyDescent="0.25">
      <c r="B309" s="2"/>
      <c r="C309" s="2"/>
    </row>
    <row r="310" spans="2:3" x14ac:dyDescent="0.25">
      <c r="B310" s="2"/>
      <c r="C310" s="2"/>
    </row>
    <row r="311" spans="2:3" x14ac:dyDescent="0.25">
      <c r="B311" s="2"/>
      <c r="C311" s="2"/>
    </row>
    <row r="312" spans="2:3" x14ac:dyDescent="0.25">
      <c r="B312" s="2"/>
      <c r="C312" s="2"/>
    </row>
    <row r="313" spans="2:3" x14ac:dyDescent="0.25">
      <c r="B313" s="2"/>
      <c r="C313" s="2"/>
    </row>
    <row r="314" spans="2:3" x14ac:dyDescent="0.25">
      <c r="B314" s="2"/>
      <c r="C314" s="2"/>
    </row>
    <row r="315" spans="2:3" x14ac:dyDescent="0.25">
      <c r="B315" s="2"/>
      <c r="C315" s="2"/>
    </row>
    <row r="316" spans="2:3" x14ac:dyDescent="0.25">
      <c r="B316" s="2"/>
      <c r="C316" s="2"/>
    </row>
    <row r="317" spans="2:3" x14ac:dyDescent="0.25">
      <c r="B317" s="2"/>
      <c r="C317" s="2"/>
    </row>
    <row r="318" spans="2:3" x14ac:dyDescent="0.25">
      <c r="B318" s="2"/>
      <c r="C318" s="2"/>
    </row>
    <row r="319" spans="2:3" x14ac:dyDescent="0.25">
      <c r="B319" s="2"/>
      <c r="C319" s="2"/>
    </row>
  </sheetData>
  <sortState xmlns:xlrd2="http://schemas.microsoft.com/office/spreadsheetml/2017/richdata2" ref="A2:AE266">
    <sortCondition descending="1" ref="K2:K266"/>
  </sortState>
  <conditionalFormatting sqref="G1">
    <cfRule type="cellIs" dxfId="0" priority="1" operator="lessThan">
      <formula>5000</formula>
    </cfRule>
  </conditionalFormatting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51A2-5E81-4526-99BF-49416A21936A}">
  <dimension ref="A1:L272"/>
  <sheetViews>
    <sheetView workbookViewId="0"/>
  </sheetViews>
  <sheetFormatPr defaultRowHeight="15" x14ac:dyDescent="0.25"/>
  <cols>
    <col min="1" max="1" width="60.7109375" bestFit="1" customWidth="1"/>
    <col min="2" max="2" width="10.85546875" bestFit="1" customWidth="1"/>
    <col min="3" max="3" width="8.5703125" bestFit="1" customWidth="1"/>
    <col min="4" max="4" width="7.5703125" bestFit="1" customWidth="1"/>
    <col min="5" max="5" width="12.42578125" bestFit="1" customWidth="1"/>
    <col min="6" max="6" width="10.42578125" bestFit="1" customWidth="1"/>
    <col min="7" max="7" width="10.5703125" bestFit="1" customWidth="1"/>
    <col min="8" max="8" width="7.5703125" bestFit="1" customWidth="1"/>
  </cols>
  <sheetData>
    <row r="1" spans="1:12" ht="18.75" x14ac:dyDescent="0.3">
      <c r="A1" s="14" t="s">
        <v>751</v>
      </c>
    </row>
    <row r="3" spans="1:12" x14ac:dyDescent="0.25">
      <c r="A3" s="13" t="s">
        <v>752</v>
      </c>
      <c r="B3" s="15">
        <v>3</v>
      </c>
    </row>
    <row r="4" spans="1:12" x14ac:dyDescent="0.25">
      <c r="A4" s="13" t="s">
        <v>753</v>
      </c>
      <c r="B4" s="16">
        <v>0.95</v>
      </c>
    </row>
    <row r="5" spans="1:12" x14ac:dyDescent="0.25">
      <c r="A5" s="13" t="s">
        <v>754</v>
      </c>
      <c r="B5" s="17">
        <f>_xlfn.T.INV.2T(1-B4,B3-1)</f>
        <v>4.3026527297494619</v>
      </c>
    </row>
    <row r="7" spans="1:12" x14ac:dyDescent="0.25">
      <c r="A7" s="18" t="s">
        <v>755</v>
      </c>
      <c r="B7" s="18" t="s">
        <v>756</v>
      </c>
      <c r="C7" s="18" t="s">
        <v>757</v>
      </c>
      <c r="D7" s="18" t="s">
        <v>758</v>
      </c>
      <c r="E7" s="18" t="s">
        <v>759</v>
      </c>
      <c r="F7" s="18" t="s">
        <v>760</v>
      </c>
      <c r="G7" s="18" t="s">
        <v>761</v>
      </c>
      <c r="H7" s="18" t="s">
        <v>762</v>
      </c>
      <c r="I7" s="13" t="s">
        <v>755</v>
      </c>
      <c r="J7" s="13" t="s">
        <v>760</v>
      </c>
      <c r="K7" s="13" t="s">
        <v>757</v>
      </c>
      <c r="L7" s="13" t="s">
        <v>761</v>
      </c>
    </row>
    <row r="8" spans="1:12" x14ac:dyDescent="0.25">
      <c r="A8">
        <v>1</v>
      </c>
      <c r="B8" t="str" cm="1">
        <f t="array" ref="B8">INDEX(Sheet1!$A:$A,267-$A8)</f>
        <v>L2U5H11</v>
      </c>
      <c r="C8" s="17" cm="1">
        <f t="array" ref="C8">INDEX(Sheet1!$K:$K,267-$A8)</f>
        <v>0.32634551553186503</v>
      </c>
      <c r="D8" s="17" cm="1">
        <f t="array" ref="D8">INDEX(Sheet1!$Q:$Q,267-$A8)</f>
        <v>3.4643101020283187E-2</v>
      </c>
      <c r="E8" s="17">
        <f>$B$5*D8/SQRT($B$3)</f>
        <v>8.6058233696461803E-2</v>
      </c>
      <c r="F8" s="17">
        <f>C8-E8</f>
        <v>0.24028728183540321</v>
      </c>
      <c r="G8" s="17">
        <f>C8+E8</f>
        <v>0.41240374922832684</v>
      </c>
      <c r="H8" s="17">
        <f>MAX(F8,C8/10)</f>
        <v>0.24028728183540321</v>
      </c>
      <c r="I8">
        <f>A8</f>
        <v>1</v>
      </c>
      <c r="J8" s="17">
        <f>H8</f>
        <v>0.24028728183540321</v>
      </c>
      <c r="K8" s="17">
        <f>C8</f>
        <v>0.32634551553186503</v>
      </c>
      <c r="L8" s="17">
        <f>G8</f>
        <v>0.41240374922832684</v>
      </c>
    </row>
    <row r="9" spans="1:12" x14ac:dyDescent="0.25">
      <c r="A9">
        <v>2</v>
      </c>
      <c r="B9" t="str" cm="1">
        <f t="array" ref="B9">INDEX(Sheet1!$A:$A,267-$A9)</f>
        <v>L2U8H06</v>
      </c>
      <c r="C9" s="17" cm="1">
        <f t="array" ref="C9">INDEX(Sheet1!$K:$K,267-$A9)</f>
        <v>0.41674122585715784</v>
      </c>
      <c r="D9" s="17" cm="1">
        <f t="array" ref="D9">INDEX(Sheet1!$Q:$Q,267-$A9)</f>
        <v>0.21795365109644033</v>
      </c>
      <c r="E9" s="17">
        <f t="shared" ref="E9:E72" si="0">$B$5*D9/SQRT($B$3)</f>
        <v>0.54142688410234108</v>
      </c>
      <c r="F9" s="17">
        <f t="shared" ref="F9:F72" si="1">C9-E9</f>
        <v>-0.12468565824518324</v>
      </c>
      <c r="G9" s="17">
        <f t="shared" ref="G9:G72" si="2">C9+E9</f>
        <v>0.95816810995949897</v>
      </c>
      <c r="H9" s="17">
        <f t="shared" ref="H9:H72" si="3">MAX(F9,C9/10)</f>
        <v>4.1674122585715782E-2</v>
      </c>
      <c r="I9">
        <f t="shared" ref="I9:I72" si="4">A9</f>
        <v>2</v>
      </c>
      <c r="J9" s="17">
        <f t="shared" ref="J9:J72" si="5">H9</f>
        <v>4.1674122585715782E-2</v>
      </c>
      <c r="K9" s="17">
        <f t="shared" ref="K9:K72" si="6">C9</f>
        <v>0.41674122585715784</v>
      </c>
      <c r="L9" s="17">
        <f t="shared" ref="L9:L72" si="7">G9</f>
        <v>0.95816810995949897</v>
      </c>
    </row>
    <row r="10" spans="1:12" x14ac:dyDescent="0.25">
      <c r="A10">
        <v>3</v>
      </c>
      <c r="B10" t="str" cm="1">
        <f t="array" ref="B10">INDEX(Sheet1!$A:$A,267-$A10)</f>
        <v>L2U8H11</v>
      </c>
      <c r="C10" s="17" cm="1">
        <f t="array" ref="C10">INDEX(Sheet1!$K:$K,267-$A10)</f>
        <v>0.50268775772564489</v>
      </c>
      <c r="D10" s="17" cm="1">
        <f t="array" ref="D10">INDEX(Sheet1!$Q:$Q,267-$A10)</f>
        <v>0.20185247764631853</v>
      </c>
      <c r="E10" s="17">
        <f t="shared" si="0"/>
        <v>0.50142935193146032</v>
      </c>
      <c r="F10" s="17">
        <f t="shared" si="1"/>
        <v>1.2584057941845694E-3</v>
      </c>
      <c r="G10" s="17">
        <f t="shared" si="2"/>
        <v>1.0041171096571051</v>
      </c>
      <c r="H10" s="17">
        <f t="shared" si="3"/>
        <v>5.0268775772564486E-2</v>
      </c>
      <c r="I10">
        <f t="shared" si="4"/>
        <v>3</v>
      </c>
      <c r="J10" s="17">
        <f t="shared" si="5"/>
        <v>5.0268775772564486E-2</v>
      </c>
      <c r="K10" s="17">
        <f t="shared" si="6"/>
        <v>0.50268775772564489</v>
      </c>
      <c r="L10" s="17">
        <f t="shared" si="7"/>
        <v>1.0041171096571051</v>
      </c>
    </row>
    <row r="11" spans="1:12" x14ac:dyDescent="0.25">
      <c r="A11">
        <v>4</v>
      </c>
      <c r="B11" t="str" cm="1">
        <f t="array" ref="B11">INDEX(Sheet1!$A:$A,267-$A11)</f>
        <v>L1U6H10</v>
      </c>
      <c r="C11" s="17" cm="1">
        <f t="array" ref="C11">INDEX(Sheet1!$K:$K,267-$A11)</f>
        <v>0.54809905430517003</v>
      </c>
      <c r="D11" s="17" cm="1">
        <f t="array" ref="D11">INDEX(Sheet1!$Q:$Q,267-$A11)</f>
        <v>0.12159951773314383</v>
      </c>
      <c r="E11" s="17">
        <f t="shared" si="0"/>
        <v>0.30206994773155554</v>
      </c>
      <c r="F11" s="17">
        <f t="shared" si="1"/>
        <v>0.24602910657361449</v>
      </c>
      <c r="G11" s="17">
        <f t="shared" si="2"/>
        <v>0.85016900203672563</v>
      </c>
      <c r="H11" s="17">
        <f t="shared" si="3"/>
        <v>0.24602910657361449</v>
      </c>
      <c r="I11">
        <f t="shared" si="4"/>
        <v>4</v>
      </c>
      <c r="J11" s="17">
        <f t="shared" si="5"/>
        <v>0.24602910657361449</v>
      </c>
      <c r="K11" s="17">
        <f t="shared" si="6"/>
        <v>0.54809905430517003</v>
      </c>
      <c r="L11" s="17">
        <f t="shared" si="7"/>
        <v>0.85016900203672563</v>
      </c>
    </row>
    <row r="12" spans="1:12" x14ac:dyDescent="0.25">
      <c r="A12">
        <v>5</v>
      </c>
      <c r="B12" t="str" cm="1">
        <f t="array" ref="B12">INDEX(Sheet1!$A:$A,267-$A12)</f>
        <v>L2U8H03</v>
      </c>
      <c r="C12" s="17" cm="1">
        <f t="array" ref="C12">INDEX(Sheet1!$K:$K,267-$A12)</f>
        <v>0.55028740436082535</v>
      </c>
      <c r="D12" s="17" cm="1">
        <f t="array" ref="D12">INDEX(Sheet1!$Q:$Q,267-$A12)</f>
        <v>9.8301653389147467E-2</v>
      </c>
      <c r="E12" s="17">
        <f t="shared" si="0"/>
        <v>0.24419484431139085</v>
      </c>
      <c r="F12" s="17">
        <f t="shared" si="1"/>
        <v>0.30609256004943453</v>
      </c>
      <c r="G12" s="17">
        <f t="shared" si="2"/>
        <v>0.79448224867221617</v>
      </c>
      <c r="H12" s="17">
        <f t="shared" si="3"/>
        <v>0.30609256004943453</v>
      </c>
      <c r="I12">
        <f t="shared" si="4"/>
        <v>5</v>
      </c>
      <c r="J12" s="17">
        <f t="shared" si="5"/>
        <v>0.30609256004943453</v>
      </c>
      <c r="K12" s="17">
        <f t="shared" si="6"/>
        <v>0.55028740436082535</v>
      </c>
      <c r="L12" s="17">
        <f t="shared" si="7"/>
        <v>0.79448224867221617</v>
      </c>
    </row>
    <row r="13" spans="1:12" x14ac:dyDescent="0.25">
      <c r="A13">
        <v>6</v>
      </c>
      <c r="B13" t="str" cm="1">
        <f t="array" ref="B13">INDEX(Sheet1!$A:$A,267-$A13)</f>
        <v>L2U5H01</v>
      </c>
      <c r="C13" s="17" cm="1">
        <f t="array" ref="C13">INDEX(Sheet1!$K:$K,267-$A13)</f>
        <v>0.55499238513913873</v>
      </c>
      <c r="D13" s="17" cm="1">
        <f t="array" ref="D13">INDEX(Sheet1!$Q:$Q,267-$A13)</f>
        <v>5.3772501382041586E-2</v>
      </c>
      <c r="E13" s="17">
        <f t="shared" si="0"/>
        <v>0.13357829853827624</v>
      </c>
      <c r="F13" s="17">
        <f t="shared" si="1"/>
        <v>0.42141408660086249</v>
      </c>
      <c r="G13" s="17">
        <f t="shared" si="2"/>
        <v>0.68857068367741503</v>
      </c>
      <c r="H13" s="17">
        <f t="shared" si="3"/>
        <v>0.42141408660086249</v>
      </c>
      <c r="I13">
        <f t="shared" si="4"/>
        <v>6</v>
      </c>
      <c r="J13" s="17">
        <f t="shared" si="5"/>
        <v>0.42141408660086249</v>
      </c>
      <c r="K13" s="17">
        <f t="shared" si="6"/>
        <v>0.55499238513913873</v>
      </c>
      <c r="L13" s="17">
        <f t="shared" si="7"/>
        <v>0.68857068367741503</v>
      </c>
    </row>
    <row r="14" spans="1:12" x14ac:dyDescent="0.25">
      <c r="A14">
        <v>7</v>
      </c>
      <c r="B14" t="str" cm="1">
        <f t="array" ref="B14">INDEX(Sheet1!$A:$A,267-$A14)</f>
        <v>L2U8H04</v>
      </c>
      <c r="C14" s="17" cm="1">
        <f t="array" ref="C14">INDEX(Sheet1!$K:$K,267-$A14)</f>
        <v>0.55899383317601847</v>
      </c>
      <c r="D14" s="17" cm="1">
        <f t="array" ref="D14">INDEX(Sheet1!$Q:$Q,267-$A14)</f>
        <v>0.10836040595644034</v>
      </c>
      <c r="E14" s="17">
        <f t="shared" si="0"/>
        <v>0.26918217089696855</v>
      </c>
      <c r="F14" s="17">
        <f t="shared" si="1"/>
        <v>0.28981166227904992</v>
      </c>
      <c r="G14" s="17">
        <f t="shared" si="2"/>
        <v>0.82817600407298708</v>
      </c>
      <c r="H14" s="17">
        <f t="shared" si="3"/>
        <v>0.28981166227904992</v>
      </c>
      <c r="I14">
        <f t="shared" si="4"/>
        <v>7</v>
      </c>
      <c r="J14" s="17">
        <f t="shared" si="5"/>
        <v>0.28981166227904992</v>
      </c>
      <c r="K14" s="17">
        <f t="shared" si="6"/>
        <v>0.55899383317601847</v>
      </c>
      <c r="L14" s="17">
        <f t="shared" si="7"/>
        <v>0.82817600407298708</v>
      </c>
    </row>
    <row r="15" spans="1:12" x14ac:dyDescent="0.25">
      <c r="A15">
        <v>8</v>
      </c>
      <c r="B15" t="str" cm="1">
        <f t="array" ref="B15">INDEX(Sheet1!$A:$A,267-$A15)</f>
        <v>L2U5H03</v>
      </c>
      <c r="C15" s="17" cm="1">
        <f t="array" ref="C15">INDEX(Sheet1!$K:$K,267-$A15)</f>
        <v>0.58171528476849577</v>
      </c>
      <c r="D15" s="17" cm="1">
        <f t="array" ref="D15">INDEX(Sheet1!$Q:$Q,267-$A15)</f>
        <v>1.9103982708797786E-2</v>
      </c>
      <c r="E15" s="17">
        <f t="shared" si="0"/>
        <v>4.745692389155081E-2</v>
      </c>
      <c r="F15" s="17">
        <f t="shared" si="1"/>
        <v>0.534258360876945</v>
      </c>
      <c r="G15" s="17">
        <f t="shared" si="2"/>
        <v>0.62917220866004653</v>
      </c>
      <c r="H15" s="17">
        <f t="shared" si="3"/>
        <v>0.534258360876945</v>
      </c>
      <c r="I15">
        <f t="shared" si="4"/>
        <v>8</v>
      </c>
      <c r="J15" s="17">
        <f t="shared" si="5"/>
        <v>0.534258360876945</v>
      </c>
      <c r="K15" s="17">
        <f t="shared" si="6"/>
        <v>0.58171528476849577</v>
      </c>
      <c r="L15" s="17">
        <f t="shared" si="7"/>
        <v>0.62917220866004653</v>
      </c>
    </row>
    <row r="16" spans="1:12" x14ac:dyDescent="0.25">
      <c r="A16">
        <v>9</v>
      </c>
      <c r="B16" t="str" cm="1">
        <f t="array" ref="B16">INDEX(Sheet1!$A:$A,267-$A16)</f>
        <v>L1U6H03</v>
      </c>
      <c r="C16" s="17" cm="1">
        <f t="array" ref="C16">INDEX(Sheet1!$K:$K,267-$A16)</f>
        <v>0.58229818013763157</v>
      </c>
      <c r="D16" s="17" cm="1">
        <f t="array" ref="D16">INDEX(Sheet1!$Q:$Q,267-$A16)</f>
        <v>0.13087092107626463</v>
      </c>
      <c r="E16" s="17">
        <f t="shared" si="0"/>
        <v>0.32510139041705011</v>
      </c>
      <c r="F16" s="17">
        <f t="shared" si="1"/>
        <v>0.25719678972058146</v>
      </c>
      <c r="G16" s="17">
        <f t="shared" si="2"/>
        <v>0.90739957055468168</v>
      </c>
      <c r="H16" s="17">
        <f t="shared" si="3"/>
        <v>0.25719678972058146</v>
      </c>
      <c r="I16">
        <f t="shared" si="4"/>
        <v>9</v>
      </c>
      <c r="J16" s="17">
        <f t="shared" si="5"/>
        <v>0.25719678972058146</v>
      </c>
      <c r="K16" s="17">
        <f t="shared" si="6"/>
        <v>0.58229818013763157</v>
      </c>
      <c r="L16" s="17">
        <f t="shared" si="7"/>
        <v>0.90739957055468168</v>
      </c>
    </row>
    <row r="17" spans="1:12" x14ac:dyDescent="0.25">
      <c r="A17">
        <v>10</v>
      </c>
      <c r="B17" t="str" cm="1">
        <f t="array" ref="B17">INDEX(Sheet1!$A:$A,267-$A17)</f>
        <v>L1U6H05</v>
      </c>
      <c r="C17" s="17" cm="1">
        <f t="array" ref="C17">INDEX(Sheet1!$K:$K,267-$A17)</f>
        <v>0.58485939133462828</v>
      </c>
      <c r="D17" s="17" cm="1">
        <f t="array" ref="D17">INDEX(Sheet1!$Q:$Q,267-$A17)</f>
        <v>0.126359358876411</v>
      </c>
      <c r="E17" s="17">
        <f t="shared" si="0"/>
        <v>0.31389404861748638</v>
      </c>
      <c r="F17" s="17">
        <f t="shared" si="1"/>
        <v>0.2709653427171419</v>
      </c>
      <c r="G17" s="17">
        <f t="shared" si="2"/>
        <v>0.89875343995211465</v>
      </c>
      <c r="H17" s="17">
        <f t="shared" si="3"/>
        <v>0.2709653427171419</v>
      </c>
      <c r="I17">
        <f t="shared" si="4"/>
        <v>10</v>
      </c>
      <c r="J17" s="17">
        <f t="shared" si="5"/>
        <v>0.2709653427171419</v>
      </c>
      <c r="K17" s="17">
        <f t="shared" si="6"/>
        <v>0.58485939133462828</v>
      </c>
      <c r="L17" s="17">
        <f t="shared" si="7"/>
        <v>0.89875343995211465</v>
      </c>
    </row>
    <row r="18" spans="1:12" x14ac:dyDescent="0.25">
      <c r="A18">
        <v>11</v>
      </c>
      <c r="B18" t="str" cm="1">
        <f t="array" ref="B18">INDEX(Sheet1!$A:$A,267-$A18)</f>
        <v>L1U6H09</v>
      </c>
      <c r="C18" s="17" cm="1">
        <f t="array" ref="C18">INDEX(Sheet1!$K:$K,267-$A18)</f>
        <v>0.59296851310144594</v>
      </c>
      <c r="D18" s="17" cm="1">
        <f t="array" ref="D18">INDEX(Sheet1!$Q:$Q,267-$A18)</f>
        <v>5.9883581853400369E-2</v>
      </c>
      <c r="E18" s="17">
        <f t="shared" si="0"/>
        <v>0.14875906399671956</v>
      </c>
      <c r="F18" s="17">
        <f t="shared" si="1"/>
        <v>0.44420944910472637</v>
      </c>
      <c r="G18" s="17">
        <f t="shared" si="2"/>
        <v>0.7417275770981655</v>
      </c>
      <c r="H18" s="17">
        <f t="shared" si="3"/>
        <v>0.44420944910472637</v>
      </c>
      <c r="I18">
        <f t="shared" si="4"/>
        <v>11</v>
      </c>
      <c r="J18" s="17">
        <f t="shared" si="5"/>
        <v>0.44420944910472637</v>
      </c>
      <c r="K18" s="17">
        <f t="shared" si="6"/>
        <v>0.59296851310144594</v>
      </c>
      <c r="L18" s="17">
        <f t="shared" si="7"/>
        <v>0.7417275770981655</v>
      </c>
    </row>
    <row r="19" spans="1:12" x14ac:dyDescent="0.25">
      <c r="A19">
        <v>12</v>
      </c>
      <c r="B19" t="str" cm="1">
        <f t="array" ref="B19">INDEX(Sheet1!$A:$A,267-$A19)</f>
        <v>L2U8H01</v>
      </c>
      <c r="C19" s="17" cm="1">
        <f t="array" ref="C19">INDEX(Sheet1!$K:$K,267-$A19)</f>
        <v>0.60562379272188294</v>
      </c>
      <c r="D19" s="17" cm="1">
        <f t="array" ref="D19">INDEX(Sheet1!$Q:$Q,267-$A19)</f>
        <v>0.17130186193449704</v>
      </c>
      <c r="E19" s="17">
        <f t="shared" si="0"/>
        <v>0.42553741532453243</v>
      </c>
      <c r="F19" s="17">
        <f t="shared" si="1"/>
        <v>0.18008637739735051</v>
      </c>
      <c r="G19" s="17">
        <f t="shared" si="2"/>
        <v>1.0311612080464154</v>
      </c>
      <c r="H19" s="17">
        <f t="shared" si="3"/>
        <v>0.18008637739735051</v>
      </c>
      <c r="I19">
        <f t="shared" si="4"/>
        <v>12</v>
      </c>
      <c r="J19" s="17">
        <f t="shared" si="5"/>
        <v>0.18008637739735051</v>
      </c>
      <c r="K19" s="17">
        <f t="shared" si="6"/>
        <v>0.60562379272188294</v>
      </c>
      <c r="L19" s="17">
        <f t="shared" si="7"/>
        <v>1.0311612080464154</v>
      </c>
    </row>
    <row r="20" spans="1:12" x14ac:dyDescent="0.25">
      <c r="A20">
        <v>13</v>
      </c>
      <c r="B20" t="str" cm="1">
        <f t="array" ref="B20">INDEX(Sheet1!$A:$A,267-$A20)</f>
        <v>L2U7H01</v>
      </c>
      <c r="C20" s="17" cm="1">
        <f t="array" ref="C20">INDEX(Sheet1!$K:$K,267-$A20)</f>
        <v>0.6070701845704487</v>
      </c>
      <c r="D20" s="17" cm="1">
        <f t="array" ref="D20">INDEX(Sheet1!$Q:$Q,267-$A20)</f>
        <v>0.20556517207076408</v>
      </c>
      <c r="E20" s="17">
        <f t="shared" si="0"/>
        <v>0.51065219616343072</v>
      </c>
      <c r="F20" s="17">
        <f t="shared" si="1"/>
        <v>9.6417988407017985E-2</v>
      </c>
      <c r="G20" s="17">
        <f t="shared" si="2"/>
        <v>1.1177223807338794</v>
      </c>
      <c r="H20" s="17">
        <f t="shared" si="3"/>
        <v>9.6417988407017985E-2</v>
      </c>
      <c r="I20">
        <f t="shared" si="4"/>
        <v>13</v>
      </c>
      <c r="J20" s="17">
        <f t="shared" si="5"/>
        <v>9.6417988407017985E-2</v>
      </c>
      <c r="K20" s="17">
        <f t="shared" si="6"/>
        <v>0.6070701845704487</v>
      </c>
      <c r="L20" s="17">
        <f t="shared" si="7"/>
        <v>1.1177223807338794</v>
      </c>
    </row>
    <row r="21" spans="1:12" x14ac:dyDescent="0.25">
      <c r="A21">
        <v>14</v>
      </c>
      <c r="B21" t="str" cm="1">
        <f t="array" ref="B21">INDEX(Sheet1!$A:$A,267-$A21)</f>
        <v>L2U8H09</v>
      </c>
      <c r="C21" s="17" cm="1">
        <f t="array" ref="C21">INDEX(Sheet1!$K:$K,267-$A21)</f>
        <v>0.61869333043001762</v>
      </c>
      <c r="D21" s="17" cm="1">
        <f t="array" ref="D21">INDEX(Sheet1!$Q:$Q,267-$A21)</f>
        <v>0.20877978002364386</v>
      </c>
      <c r="E21" s="17">
        <f t="shared" si="0"/>
        <v>0.51863772500767202</v>
      </c>
      <c r="F21" s="17">
        <f t="shared" si="1"/>
        <v>0.10005560542234559</v>
      </c>
      <c r="G21" s="17">
        <f t="shared" si="2"/>
        <v>1.1373310554376896</v>
      </c>
      <c r="H21" s="17">
        <f t="shared" si="3"/>
        <v>0.10005560542234559</v>
      </c>
      <c r="I21">
        <f t="shared" si="4"/>
        <v>14</v>
      </c>
      <c r="J21" s="17">
        <f t="shared" si="5"/>
        <v>0.10005560542234559</v>
      </c>
      <c r="K21" s="17">
        <f t="shared" si="6"/>
        <v>0.61869333043001762</v>
      </c>
      <c r="L21" s="17">
        <f t="shared" si="7"/>
        <v>1.1373310554376896</v>
      </c>
    </row>
    <row r="22" spans="1:12" x14ac:dyDescent="0.25">
      <c r="A22">
        <v>15</v>
      </c>
      <c r="B22" t="str" cm="1">
        <f t="array" ref="B22">INDEX(Sheet1!$A:$A,267-$A22)</f>
        <v>L1U7H10</v>
      </c>
      <c r="C22" s="17" cm="1">
        <f t="array" ref="C22">INDEX(Sheet1!$K:$K,267-$A22)</f>
        <v>0.62456300416122756</v>
      </c>
      <c r="D22" s="17" cm="1">
        <f t="array" ref="D22">INDEX(Sheet1!$Q:$Q,267-$A22)</f>
        <v>4.9342284866856732E-2</v>
      </c>
      <c r="E22" s="17">
        <f t="shared" si="0"/>
        <v>0.12257303062168642</v>
      </c>
      <c r="F22" s="17">
        <f t="shared" si="1"/>
        <v>0.50198997353954111</v>
      </c>
      <c r="G22" s="17">
        <f t="shared" si="2"/>
        <v>0.74713603478291402</v>
      </c>
      <c r="H22" s="17">
        <f t="shared" si="3"/>
        <v>0.50198997353954111</v>
      </c>
      <c r="I22">
        <f t="shared" si="4"/>
        <v>15</v>
      </c>
      <c r="J22" s="17">
        <f t="shared" si="5"/>
        <v>0.50198997353954111</v>
      </c>
      <c r="K22" s="17">
        <f t="shared" si="6"/>
        <v>0.62456300416122756</v>
      </c>
      <c r="L22" s="17">
        <f t="shared" si="7"/>
        <v>0.74713603478291402</v>
      </c>
    </row>
    <row r="23" spans="1:12" x14ac:dyDescent="0.25">
      <c r="A23">
        <v>16</v>
      </c>
      <c r="B23" t="str" cm="1">
        <f t="array" ref="B23">INDEX(Sheet1!$A:$A,267-$A23)</f>
        <v>L1U6H06</v>
      </c>
      <c r="C23" s="17" cm="1">
        <f t="array" ref="C23">INDEX(Sheet1!$K:$K,267-$A23)</f>
        <v>0.62650044713130781</v>
      </c>
      <c r="D23" s="17" cm="1">
        <f t="array" ref="D23">INDEX(Sheet1!$Q:$Q,267-$A23)</f>
        <v>0.16497074784007704</v>
      </c>
      <c r="E23" s="17">
        <f t="shared" si="0"/>
        <v>0.40981005604518966</v>
      </c>
      <c r="F23" s="17">
        <f t="shared" si="1"/>
        <v>0.21669039108611815</v>
      </c>
      <c r="G23" s="17">
        <f t="shared" si="2"/>
        <v>1.0363105031764974</v>
      </c>
      <c r="H23" s="17">
        <f t="shared" si="3"/>
        <v>0.21669039108611815</v>
      </c>
      <c r="I23">
        <f t="shared" si="4"/>
        <v>16</v>
      </c>
      <c r="J23" s="17">
        <f t="shared" si="5"/>
        <v>0.21669039108611815</v>
      </c>
      <c r="K23" s="17">
        <f t="shared" si="6"/>
        <v>0.62650044713130781</v>
      </c>
      <c r="L23" s="17">
        <f t="shared" si="7"/>
        <v>1.0363105031764974</v>
      </c>
    </row>
    <row r="24" spans="1:12" x14ac:dyDescent="0.25">
      <c r="A24">
        <v>17</v>
      </c>
      <c r="B24" t="str" cm="1">
        <f t="array" ref="B24">INDEX(Sheet1!$A:$A,267-$A24)</f>
        <v>L1U6H11</v>
      </c>
      <c r="C24" s="17" cm="1">
        <f t="array" ref="C24">INDEX(Sheet1!$K:$K,267-$A24)</f>
        <v>0.62746415818583834</v>
      </c>
      <c r="D24" s="17" cm="1">
        <f t="array" ref="D24">INDEX(Sheet1!$Q:$Q,267-$A24)</f>
        <v>0.16329956003010754</v>
      </c>
      <c r="E24" s="17">
        <f t="shared" si="0"/>
        <v>0.40565859538302701</v>
      </c>
      <c r="F24" s="17">
        <f t="shared" si="1"/>
        <v>0.22180556280281133</v>
      </c>
      <c r="G24" s="17">
        <f t="shared" si="2"/>
        <v>1.0331227535688654</v>
      </c>
      <c r="H24" s="17">
        <f t="shared" si="3"/>
        <v>0.22180556280281133</v>
      </c>
      <c r="I24">
        <f t="shared" si="4"/>
        <v>17</v>
      </c>
      <c r="J24" s="17">
        <f t="shared" si="5"/>
        <v>0.22180556280281133</v>
      </c>
      <c r="K24" s="17">
        <f t="shared" si="6"/>
        <v>0.62746415818583834</v>
      </c>
      <c r="L24" s="17">
        <f t="shared" si="7"/>
        <v>1.0331227535688654</v>
      </c>
    </row>
    <row r="25" spans="1:12" x14ac:dyDescent="0.25">
      <c r="A25">
        <v>18</v>
      </c>
      <c r="B25" t="str" cm="1">
        <f t="array" ref="B25">INDEX(Sheet1!$A:$A,267-$A25)</f>
        <v>L1U7H11</v>
      </c>
      <c r="C25" s="17" cm="1">
        <f t="array" ref="C25">INDEX(Sheet1!$K:$K,267-$A25)</f>
        <v>0.63719040132490889</v>
      </c>
      <c r="D25" s="17" cm="1">
        <f t="array" ref="D25">INDEX(Sheet1!$Q:$Q,267-$A25)</f>
        <v>2.7080388355695852E-2</v>
      </c>
      <c r="E25" s="17">
        <f t="shared" si="0"/>
        <v>6.7271413963228568E-2</v>
      </c>
      <c r="F25" s="17">
        <f t="shared" si="1"/>
        <v>0.56991898736168034</v>
      </c>
      <c r="G25" s="17">
        <f t="shared" si="2"/>
        <v>0.70446181528813745</v>
      </c>
      <c r="H25" s="17">
        <f t="shared" si="3"/>
        <v>0.56991898736168034</v>
      </c>
      <c r="I25">
        <f t="shared" si="4"/>
        <v>18</v>
      </c>
      <c r="J25" s="17">
        <f t="shared" si="5"/>
        <v>0.56991898736168034</v>
      </c>
      <c r="K25" s="17">
        <f t="shared" si="6"/>
        <v>0.63719040132490889</v>
      </c>
      <c r="L25" s="17">
        <f t="shared" si="7"/>
        <v>0.70446181528813745</v>
      </c>
    </row>
    <row r="26" spans="1:12" x14ac:dyDescent="0.25">
      <c r="A26">
        <v>19</v>
      </c>
      <c r="B26" t="str" cm="1">
        <f t="array" ref="B26">INDEX(Sheet1!$A:$A,267-$A26)</f>
        <v>L1U8H01</v>
      </c>
      <c r="C26" s="17" cm="1">
        <f t="array" ref="C26">INDEX(Sheet1!$K:$K,267-$A26)</f>
        <v>0.64391250830329816</v>
      </c>
      <c r="D26" s="17" cm="1">
        <f t="array" ref="D26">INDEX(Sheet1!$Q:$Q,267-$A26)</f>
        <v>7.4666215353574747E-2</v>
      </c>
      <c r="E26" s="17">
        <f t="shared" si="0"/>
        <v>0.18548116135348652</v>
      </c>
      <c r="F26" s="17">
        <f t="shared" si="1"/>
        <v>0.45843134694981164</v>
      </c>
      <c r="G26" s="17">
        <f t="shared" si="2"/>
        <v>0.82939366965678474</v>
      </c>
      <c r="H26" s="17">
        <f t="shared" si="3"/>
        <v>0.45843134694981164</v>
      </c>
      <c r="I26">
        <f t="shared" si="4"/>
        <v>19</v>
      </c>
      <c r="J26" s="17">
        <f t="shared" si="5"/>
        <v>0.45843134694981164</v>
      </c>
      <c r="K26" s="17">
        <f t="shared" si="6"/>
        <v>0.64391250830329816</v>
      </c>
      <c r="L26" s="17">
        <f t="shared" si="7"/>
        <v>0.82939366965678474</v>
      </c>
    </row>
    <row r="27" spans="1:12" x14ac:dyDescent="0.25">
      <c r="A27">
        <v>20</v>
      </c>
      <c r="B27" t="str" cm="1">
        <f t="array" ref="B27">INDEX(Sheet1!$A:$A,267-$A27)</f>
        <v>L1U7H02</v>
      </c>
      <c r="C27" s="17" cm="1">
        <f t="array" ref="C27">INDEX(Sheet1!$K:$K,267-$A27)</f>
        <v>0.65190796538519813</v>
      </c>
      <c r="D27" s="17" cm="1">
        <f t="array" ref="D27">INDEX(Sheet1!$Q:$Q,267-$A27)</f>
        <v>0.18219084142173023</v>
      </c>
      <c r="E27" s="17">
        <f t="shared" si="0"/>
        <v>0.45258713991124416</v>
      </c>
      <c r="F27" s="17">
        <f t="shared" si="1"/>
        <v>0.19932082547395397</v>
      </c>
      <c r="G27" s="17">
        <f t="shared" si="2"/>
        <v>1.1044951052964422</v>
      </c>
      <c r="H27" s="17">
        <f t="shared" si="3"/>
        <v>0.19932082547395397</v>
      </c>
      <c r="I27">
        <f t="shared" si="4"/>
        <v>20</v>
      </c>
      <c r="J27" s="17">
        <f t="shared" si="5"/>
        <v>0.19932082547395397</v>
      </c>
      <c r="K27" s="17">
        <f t="shared" si="6"/>
        <v>0.65190796538519813</v>
      </c>
      <c r="L27" s="17">
        <f t="shared" si="7"/>
        <v>1.1044951052964422</v>
      </c>
    </row>
    <row r="28" spans="1:12" x14ac:dyDescent="0.25">
      <c r="A28">
        <v>21</v>
      </c>
      <c r="B28" t="str" cm="1">
        <f t="array" ref="B28">INDEX(Sheet1!$A:$A,267-$A28)</f>
        <v>L2U8H05</v>
      </c>
      <c r="C28" s="17" cm="1">
        <f t="array" ref="C28">INDEX(Sheet1!$K:$K,267-$A28)</f>
        <v>0.65437990968802473</v>
      </c>
      <c r="D28" s="17" cm="1">
        <f t="array" ref="D28">INDEX(Sheet1!$Q:$Q,267-$A28)</f>
        <v>0.2187790425988933</v>
      </c>
      <c r="E28" s="17">
        <f t="shared" si="0"/>
        <v>0.54347727026054282</v>
      </c>
      <c r="F28" s="17">
        <f t="shared" si="1"/>
        <v>0.11090263942748191</v>
      </c>
      <c r="G28" s="17">
        <f t="shared" si="2"/>
        <v>1.1978571799485676</v>
      </c>
      <c r="H28" s="17">
        <f t="shared" si="3"/>
        <v>0.11090263942748191</v>
      </c>
      <c r="I28">
        <f t="shared" si="4"/>
        <v>21</v>
      </c>
      <c r="J28" s="17">
        <f t="shared" si="5"/>
        <v>0.11090263942748191</v>
      </c>
      <c r="K28" s="17">
        <f t="shared" si="6"/>
        <v>0.65437990968802473</v>
      </c>
      <c r="L28" s="17">
        <f t="shared" si="7"/>
        <v>1.1978571799485676</v>
      </c>
    </row>
    <row r="29" spans="1:12" x14ac:dyDescent="0.25">
      <c r="A29">
        <v>22</v>
      </c>
      <c r="B29" t="str" cm="1">
        <f t="array" ref="B29">INDEX(Sheet1!$A:$A,267-$A29)</f>
        <v>L1U8H06</v>
      </c>
      <c r="C29" s="17" cm="1">
        <f t="array" ref="C29">INDEX(Sheet1!$K:$K,267-$A29)</f>
        <v>0.66232334798771675</v>
      </c>
      <c r="D29" s="17" cm="1">
        <f t="array" ref="D29">INDEX(Sheet1!$Q:$Q,267-$A29)</f>
        <v>0.16229222766310727</v>
      </c>
      <c r="E29" s="17">
        <f t="shared" si="0"/>
        <v>0.4031562430618949</v>
      </c>
      <c r="F29" s="17">
        <f t="shared" si="1"/>
        <v>0.25916710492582185</v>
      </c>
      <c r="G29" s="17">
        <f t="shared" si="2"/>
        <v>1.0654795910496118</v>
      </c>
      <c r="H29" s="17">
        <f t="shared" si="3"/>
        <v>0.25916710492582185</v>
      </c>
      <c r="I29">
        <f t="shared" si="4"/>
        <v>22</v>
      </c>
      <c r="J29" s="17">
        <f t="shared" si="5"/>
        <v>0.25916710492582185</v>
      </c>
      <c r="K29" s="17">
        <f t="shared" si="6"/>
        <v>0.66232334798771675</v>
      </c>
      <c r="L29" s="17">
        <f t="shared" si="7"/>
        <v>1.0654795910496118</v>
      </c>
    </row>
    <row r="30" spans="1:12" x14ac:dyDescent="0.25">
      <c r="A30">
        <v>23</v>
      </c>
      <c r="B30" t="str" cm="1">
        <f t="array" ref="B30">INDEX(Sheet1!$A:$A,267-$A30)</f>
        <v>L2U6H02</v>
      </c>
      <c r="C30" s="17" cm="1">
        <f t="array" ref="C30">INDEX(Sheet1!$K:$K,267-$A30)</f>
        <v>0.66319971952787182</v>
      </c>
      <c r="D30" s="17" cm="1">
        <f t="array" ref="D30">INDEX(Sheet1!$Q:$Q,267-$A30)</f>
        <v>0</v>
      </c>
      <c r="E30" s="17">
        <f t="shared" si="0"/>
        <v>0</v>
      </c>
      <c r="F30" s="17">
        <f t="shared" si="1"/>
        <v>0.66319971952787182</v>
      </c>
      <c r="G30" s="17">
        <f t="shared" si="2"/>
        <v>0.66319971952787182</v>
      </c>
      <c r="H30" s="17">
        <f t="shared" si="3"/>
        <v>0.66319971952787182</v>
      </c>
      <c r="I30">
        <f t="shared" si="4"/>
        <v>23</v>
      </c>
      <c r="J30" s="17">
        <f t="shared" si="5"/>
        <v>0.66319971952787182</v>
      </c>
      <c r="K30" s="17">
        <f t="shared" si="6"/>
        <v>0.66319971952787182</v>
      </c>
      <c r="L30" s="17">
        <f t="shared" si="7"/>
        <v>0.66319971952787182</v>
      </c>
    </row>
    <row r="31" spans="1:12" x14ac:dyDescent="0.25">
      <c r="A31">
        <v>24</v>
      </c>
      <c r="B31" t="str" cm="1">
        <f t="array" ref="B31">INDEX(Sheet1!$A:$A,267-$A31)</f>
        <v>L1U8H02</v>
      </c>
      <c r="C31" s="17" cm="1">
        <f t="array" ref="C31">INDEX(Sheet1!$K:$K,267-$A31)</f>
        <v>0.66400705410329242</v>
      </c>
      <c r="D31" s="17" cm="1">
        <f t="array" ref="D31">INDEX(Sheet1!$Q:$Q,267-$A31)</f>
        <v>0.13731137042282662</v>
      </c>
      <c r="E31" s="17">
        <f t="shared" si="0"/>
        <v>0.34110035351946244</v>
      </c>
      <c r="F31" s="17">
        <f t="shared" si="1"/>
        <v>0.32290670058382998</v>
      </c>
      <c r="G31" s="17">
        <f t="shared" si="2"/>
        <v>1.0051074076227549</v>
      </c>
      <c r="H31" s="17">
        <f t="shared" si="3"/>
        <v>0.32290670058382998</v>
      </c>
      <c r="I31">
        <f t="shared" si="4"/>
        <v>24</v>
      </c>
      <c r="J31" s="17">
        <f t="shared" si="5"/>
        <v>0.32290670058382998</v>
      </c>
      <c r="K31" s="17">
        <f t="shared" si="6"/>
        <v>0.66400705410329242</v>
      </c>
      <c r="L31" s="17">
        <f t="shared" si="7"/>
        <v>1.0051074076227549</v>
      </c>
    </row>
    <row r="32" spans="1:12" x14ac:dyDescent="0.25">
      <c r="A32">
        <v>25</v>
      </c>
      <c r="B32" t="str" cm="1">
        <f t="array" ref="B32">INDEX(Sheet1!$A:$A,267-$A32)</f>
        <v>L1U7H05</v>
      </c>
      <c r="C32" s="17" cm="1">
        <f t="array" ref="C32">INDEX(Sheet1!$K:$K,267-$A32)</f>
        <v>0.6832529763381493</v>
      </c>
      <c r="D32" s="17" cm="1">
        <f t="array" ref="D32">INDEX(Sheet1!$Q:$Q,267-$A32)</f>
        <v>0.13412388271376308</v>
      </c>
      <c r="E32" s="17">
        <f t="shared" si="0"/>
        <v>0.33318219509563707</v>
      </c>
      <c r="F32" s="17">
        <f t="shared" si="1"/>
        <v>0.35007078124251223</v>
      </c>
      <c r="G32" s="17">
        <f t="shared" si="2"/>
        <v>1.0164351714337863</v>
      </c>
      <c r="H32" s="17">
        <f t="shared" si="3"/>
        <v>0.35007078124251223</v>
      </c>
      <c r="I32">
        <f t="shared" si="4"/>
        <v>25</v>
      </c>
      <c r="J32" s="17">
        <f t="shared" si="5"/>
        <v>0.35007078124251223</v>
      </c>
      <c r="K32" s="17">
        <f t="shared" si="6"/>
        <v>0.6832529763381493</v>
      </c>
      <c r="L32" s="17">
        <f t="shared" si="7"/>
        <v>1.0164351714337863</v>
      </c>
    </row>
    <row r="33" spans="1:12" x14ac:dyDescent="0.25">
      <c r="A33">
        <v>26</v>
      </c>
      <c r="B33" t="str" cm="1">
        <f t="array" ref="B33">INDEX(Sheet1!$A:$A,267-$A33)</f>
        <v>L2U5H07</v>
      </c>
      <c r="C33" s="17" cm="1">
        <f t="array" ref="C33">INDEX(Sheet1!$K:$K,267-$A33)</f>
        <v>0.69771572116361646</v>
      </c>
      <c r="D33" s="17" cm="1">
        <f t="array" ref="D33">INDEX(Sheet1!$Q:$Q,267-$A33)</f>
        <v>9.762790343419267E-2</v>
      </c>
      <c r="E33" s="17">
        <f t="shared" si="0"/>
        <v>0.24252115663999757</v>
      </c>
      <c r="F33" s="17">
        <f t="shared" si="1"/>
        <v>0.45519456452361889</v>
      </c>
      <c r="G33" s="17">
        <f t="shared" si="2"/>
        <v>0.94023687780361409</v>
      </c>
      <c r="H33" s="17">
        <f t="shared" si="3"/>
        <v>0.45519456452361889</v>
      </c>
      <c r="I33">
        <f t="shared" si="4"/>
        <v>26</v>
      </c>
      <c r="J33" s="17">
        <f t="shared" si="5"/>
        <v>0.45519456452361889</v>
      </c>
      <c r="K33" s="17">
        <f t="shared" si="6"/>
        <v>0.69771572116361646</v>
      </c>
      <c r="L33" s="17">
        <f t="shared" si="7"/>
        <v>0.94023687780361409</v>
      </c>
    </row>
    <row r="34" spans="1:12" x14ac:dyDescent="0.25">
      <c r="A34">
        <v>27</v>
      </c>
      <c r="B34" t="str" cm="1">
        <f t="array" ref="B34">INDEX(Sheet1!$A:$A,267-$A34)</f>
        <v>L1U6H12</v>
      </c>
      <c r="C34" s="17" cm="1">
        <f t="array" ref="C34">INDEX(Sheet1!$K:$K,267-$A34)</f>
        <v>0.70229000204687453</v>
      </c>
      <c r="D34" s="17" cm="1">
        <f t="array" ref="D34">INDEX(Sheet1!$Q:$Q,267-$A34)</f>
        <v>0.10783461601159444</v>
      </c>
      <c r="E34" s="17">
        <f t="shared" si="0"/>
        <v>0.26787603626651774</v>
      </c>
      <c r="F34" s="17">
        <f t="shared" si="1"/>
        <v>0.43441396578035679</v>
      </c>
      <c r="G34" s="17">
        <f t="shared" si="2"/>
        <v>0.97016603831339232</v>
      </c>
      <c r="H34" s="17">
        <f t="shared" si="3"/>
        <v>0.43441396578035679</v>
      </c>
      <c r="I34">
        <f t="shared" si="4"/>
        <v>27</v>
      </c>
      <c r="J34" s="17">
        <f t="shared" si="5"/>
        <v>0.43441396578035679</v>
      </c>
      <c r="K34" s="17">
        <f t="shared" si="6"/>
        <v>0.70229000204687453</v>
      </c>
      <c r="L34" s="17">
        <f t="shared" si="7"/>
        <v>0.97016603831339232</v>
      </c>
    </row>
    <row r="35" spans="1:12" x14ac:dyDescent="0.25">
      <c r="A35">
        <v>28</v>
      </c>
      <c r="B35" t="str" cm="1">
        <f t="array" ref="B35">INDEX(Sheet1!$A:$A,267-$A35)</f>
        <v>L1U7H09</v>
      </c>
      <c r="C35" s="17" cm="1">
        <f t="array" ref="C35">INDEX(Sheet1!$K:$K,267-$A35)</f>
        <v>0.70491466118728796</v>
      </c>
      <c r="D35" s="17" cm="1">
        <f t="array" ref="D35">INDEX(Sheet1!$Q:$Q,267-$A35)</f>
        <v>0.12947653927926928</v>
      </c>
      <c r="E35" s="17">
        <f t="shared" si="0"/>
        <v>0.32163755401055572</v>
      </c>
      <c r="F35" s="17">
        <f t="shared" si="1"/>
        <v>0.38327710717673225</v>
      </c>
      <c r="G35" s="17">
        <f t="shared" si="2"/>
        <v>1.0265522151978437</v>
      </c>
      <c r="H35" s="17">
        <f t="shared" si="3"/>
        <v>0.38327710717673225</v>
      </c>
      <c r="I35">
        <f t="shared" si="4"/>
        <v>28</v>
      </c>
      <c r="J35" s="17">
        <f t="shared" si="5"/>
        <v>0.38327710717673225</v>
      </c>
      <c r="K35" s="17">
        <f t="shared" si="6"/>
        <v>0.70491466118728796</v>
      </c>
      <c r="L35" s="17">
        <f t="shared" si="7"/>
        <v>1.0265522151978437</v>
      </c>
    </row>
    <row r="36" spans="1:12" x14ac:dyDescent="0.25">
      <c r="A36">
        <v>29</v>
      </c>
      <c r="B36" t="str" cm="1">
        <f t="array" ref="B36">INDEX(Sheet1!$A:$A,267-$A36)</f>
        <v>L1U8H10</v>
      </c>
      <c r="C36" s="17" cm="1">
        <f t="array" ref="C36">INDEX(Sheet1!$K:$K,267-$A36)</f>
        <v>0.70656813171596489</v>
      </c>
      <c r="D36" s="17" cm="1">
        <f t="array" ref="D36">INDEX(Sheet1!$Q:$Q,267-$A36)</f>
        <v>0.13533297932252422</v>
      </c>
      <c r="E36" s="17">
        <f t="shared" si="0"/>
        <v>0.33618575757861008</v>
      </c>
      <c r="F36" s="17">
        <f t="shared" si="1"/>
        <v>0.37038237413735481</v>
      </c>
      <c r="G36" s="17">
        <f t="shared" si="2"/>
        <v>1.0427538892945749</v>
      </c>
      <c r="H36" s="17">
        <f t="shared" si="3"/>
        <v>0.37038237413735481</v>
      </c>
      <c r="I36">
        <f t="shared" si="4"/>
        <v>29</v>
      </c>
      <c r="J36" s="17">
        <f t="shared" si="5"/>
        <v>0.37038237413735481</v>
      </c>
      <c r="K36" s="17">
        <f t="shared" si="6"/>
        <v>0.70656813171596489</v>
      </c>
      <c r="L36" s="17">
        <f t="shared" si="7"/>
        <v>1.0427538892945749</v>
      </c>
    </row>
    <row r="37" spans="1:12" x14ac:dyDescent="0.25">
      <c r="A37">
        <v>30</v>
      </c>
      <c r="B37" t="str" cm="1">
        <f t="array" ref="B37">INDEX(Sheet1!$A:$A,267-$A37)</f>
        <v>L1U8H08</v>
      </c>
      <c r="C37" s="17" cm="1">
        <f t="array" ref="C37">INDEX(Sheet1!$K:$K,267-$A37)</f>
        <v>0.70726899101540852</v>
      </c>
      <c r="D37" s="17" cm="1">
        <f t="array" ref="D37">INDEX(Sheet1!$Q:$Q,267-$A37)</f>
        <v>0.11395253481405268</v>
      </c>
      <c r="E37" s="17">
        <f t="shared" si="0"/>
        <v>0.28307378908113062</v>
      </c>
      <c r="F37" s="17">
        <f t="shared" si="1"/>
        <v>0.4241952019342779</v>
      </c>
      <c r="G37" s="17">
        <f t="shared" si="2"/>
        <v>0.9903427800965392</v>
      </c>
      <c r="H37" s="17">
        <f t="shared" si="3"/>
        <v>0.4241952019342779</v>
      </c>
      <c r="I37">
        <f t="shared" si="4"/>
        <v>30</v>
      </c>
      <c r="J37" s="17">
        <f t="shared" si="5"/>
        <v>0.4241952019342779</v>
      </c>
      <c r="K37" s="17">
        <f t="shared" si="6"/>
        <v>0.70726899101540852</v>
      </c>
      <c r="L37" s="17">
        <f t="shared" si="7"/>
        <v>0.9903427800965392</v>
      </c>
    </row>
    <row r="38" spans="1:12" x14ac:dyDescent="0.25">
      <c r="A38">
        <v>31</v>
      </c>
      <c r="B38" t="str" cm="1">
        <f t="array" ref="B38">INDEX(Sheet1!$A:$A,267-$A38)</f>
        <v>L2U5H09</v>
      </c>
      <c r="C38" s="17" cm="1">
        <f t="array" ref="C38">INDEX(Sheet1!$K:$K,267-$A38)</f>
        <v>0.70874700847274386</v>
      </c>
      <c r="D38" s="17" cm="1">
        <f t="array" ref="D38">INDEX(Sheet1!$Q:$Q,267-$A38)</f>
        <v>8.4984900039317843E-2</v>
      </c>
      <c r="E38" s="17">
        <f t="shared" si="0"/>
        <v>0.21111419511700155</v>
      </c>
      <c r="F38" s="17">
        <f t="shared" si="1"/>
        <v>0.49763281335574228</v>
      </c>
      <c r="G38" s="17">
        <f t="shared" si="2"/>
        <v>0.91986120358974544</v>
      </c>
      <c r="H38" s="17">
        <f t="shared" si="3"/>
        <v>0.49763281335574228</v>
      </c>
      <c r="I38">
        <f t="shared" si="4"/>
        <v>31</v>
      </c>
      <c r="J38" s="17">
        <f t="shared" si="5"/>
        <v>0.49763281335574228</v>
      </c>
      <c r="K38" s="17">
        <f t="shared" si="6"/>
        <v>0.70874700847274386</v>
      </c>
      <c r="L38" s="17">
        <f t="shared" si="7"/>
        <v>0.91986120358974544</v>
      </c>
    </row>
    <row r="39" spans="1:12" x14ac:dyDescent="0.25">
      <c r="A39">
        <v>32</v>
      </c>
      <c r="B39" t="str" cm="1">
        <f t="array" ref="B39">INDEX(Sheet1!$A:$A,267-$A39)</f>
        <v>L2U3H02</v>
      </c>
      <c r="C39" s="17" cm="1">
        <f t="array" ref="C39">INDEX(Sheet1!$K:$K,267-$A39)</f>
        <v>0.71204605351377537</v>
      </c>
      <c r="D39" s="17" cm="1">
        <f t="array" ref="D39">INDEX(Sheet1!$Q:$Q,267-$A39)</f>
        <v>0.15350975545631526</v>
      </c>
      <c r="E39" s="17">
        <f t="shared" si="0"/>
        <v>0.38133937265060369</v>
      </c>
      <c r="F39" s="17">
        <f t="shared" si="1"/>
        <v>0.33070668086317168</v>
      </c>
      <c r="G39" s="17">
        <f t="shared" si="2"/>
        <v>1.0933854261643789</v>
      </c>
      <c r="H39" s="17">
        <f t="shared" si="3"/>
        <v>0.33070668086317168</v>
      </c>
      <c r="I39">
        <f t="shared" si="4"/>
        <v>32</v>
      </c>
      <c r="J39" s="17">
        <f t="shared" si="5"/>
        <v>0.33070668086317168</v>
      </c>
      <c r="K39" s="17">
        <f t="shared" si="6"/>
        <v>0.71204605351377537</v>
      </c>
      <c r="L39" s="17">
        <f t="shared" si="7"/>
        <v>1.0933854261643789</v>
      </c>
    </row>
    <row r="40" spans="1:12" x14ac:dyDescent="0.25">
      <c r="A40">
        <v>33</v>
      </c>
      <c r="B40" t="str" cm="1">
        <f t="array" ref="B40">INDEX(Sheet1!$A:$A,267-$A40)</f>
        <v>L1U1H12</v>
      </c>
      <c r="C40" s="17" cm="1">
        <f t="array" ref="C40">INDEX(Sheet1!$K:$K,267-$A40)</f>
        <v>0.72420244953875301</v>
      </c>
      <c r="D40" s="17" cm="1">
        <f t="array" ref="D40">INDEX(Sheet1!$Q:$Q,267-$A40)</f>
        <v>6.5734335505010483E-2</v>
      </c>
      <c r="E40" s="17">
        <f t="shared" si="0"/>
        <v>0.16329314178484522</v>
      </c>
      <c r="F40" s="17">
        <f t="shared" si="1"/>
        <v>0.56090930775390779</v>
      </c>
      <c r="G40" s="17">
        <f t="shared" si="2"/>
        <v>0.88749559132359823</v>
      </c>
      <c r="H40" s="17">
        <f t="shared" si="3"/>
        <v>0.56090930775390779</v>
      </c>
      <c r="I40">
        <f t="shared" si="4"/>
        <v>33</v>
      </c>
      <c r="J40" s="17">
        <f t="shared" si="5"/>
        <v>0.56090930775390779</v>
      </c>
      <c r="K40" s="17">
        <f t="shared" si="6"/>
        <v>0.72420244953875301</v>
      </c>
      <c r="L40" s="17">
        <f t="shared" si="7"/>
        <v>0.88749559132359823</v>
      </c>
    </row>
    <row r="41" spans="1:12" x14ac:dyDescent="0.25">
      <c r="A41">
        <v>34</v>
      </c>
      <c r="B41" t="str" cm="1">
        <f t="array" ref="B41">INDEX(Sheet1!$A:$A,267-$A41)</f>
        <v>L1U7H06</v>
      </c>
      <c r="C41" s="17" cm="1">
        <f t="array" ref="C41">INDEX(Sheet1!$K:$K,267-$A41)</f>
        <v>0.73816051974203933</v>
      </c>
      <c r="D41" s="17" cm="1">
        <f t="array" ref="D41">INDEX(Sheet1!$Q:$Q,267-$A41)</f>
        <v>0.11537698022264674</v>
      </c>
      <c r="E41" s="17">
        <f t="shared" si="0"/>
        <v>0.28661230763894874</v>
      </c>
      <c r="F41" s="17">
        <f t="shared" si="1"/>
        <v>0.4515482121030906</v>
      </c>
      <c r="G41" s="17">
        <f t="shared" si="2"/>
        <v>1.0247728273809882</v>
      </c>
      <c r="H41" s="17">
        <f t="shared" si="3"/>
        <v>0.4515482121030906</v>
      </c>
      <c r="I41">
        <f t="shared" si="4"/>
        <v>34</v>
      </c>
      <c r="J41" s="17">
        <f t="shared" si="5"/>
        <v>0.4515482121030906</v>
      </c>
      <c r="K41" s="17">
        <f t="shared" si="6"/>
        <v>0.73816051974203933</v>
      </c>
      <c r="L41" s="17">
        <f t="shared" si="7"/>
        <v>1.0247728273809882</v>
      </c>
    </row>
    <row r="42" spans="1:12" x14ac:dyDescent="0.25">
      <c r="A42">
        <v>35</v>
      </c>
      <c r="B42" t="str" cm="1">
        <f t="array" ref="B42">INDEX(Sheet1!$A:$A,267-$A42)</f>
        <v>L1U6H07</v>
      </c>
      <c r="C42" s="17" cm="1">
        <f t="array" ref="C42">INDEX(Sheet1!$K:$K,267-$A42)</f>
        <v>0.74371163163667131</v>
      </c>
      <c r="D42" s="17" cm="1">
        <f t="array" ref="D42">INDEX(Sheet1!$Q:$Q,267-$A42)</f>
        <v>0.14543761624791127</v>
      </c>
      <c r="E42" s="17">
        <f t="shared" si="0"/>
        <v>0.3612870672285089</v>
      </c>
      <c r="F42" s="17">
        <f t="shared" si="1"/>
        <v>0.38242456440816242</v>
      </c>
      <c r="G42" s="17">
        <f t="shared" si="2"/>
        <v>1.1049986988651801</v>
      </c>
      <c r="H42" s="17">
        <f t="shared" si="3"/>
        <v>0.38242456440816242</v>
      </c>
      <c r="I42">
        <f t="shared" si="4"/>
        <v>35</v>
      </c>
      <c r="J42" s="17">
        <f t="shared" si="5"/>
        <v>0.38242456440816242</v>
      </c>
      <c r="K42" s="17">
        <f t="shared" si="6"/>
        <v>0.74371163163667131</v>
      </c>
      <c r="L42" s="17">
        <f t="shared" si="7"/>
        <v>1.1049986988651801</v>
      </c>
    </row>
    <row r="43" spans="1:12" x14ac:dyDescent="0.25">
      <c r="A43">
        <v>36</v>
      </c>
      <c r="B43" t="str" cm="1">
        <f t="array" ref="B43">INDEX(Sheet1!$A:$A,267-$A43)</f>
        <v>L1U8H07</v>
      </c>
      <c r="C43" s="17" cm="1">
        <f t="array" ref="C43">INDEX(Sheet1!$K:$K,267-$A43)</f>
        <v>0.74409887891098814</v>
      </c>
      <c r="D43" s="17" cm="1">
        <f t="array" ref="D43">INDEX(Sheet1!$Q:$Q,267-$A43)</f>
        <v>0.11561899008237574</v>
      </c>
      <c r="E43" s="17">
        <f t="shared" si="0"/>
        <v>0.28721349345811698</v>
      </c>
      <c r="F43" s="17">
        <f t="shared" si="1"/>
        <v>0.45688538545287116</v>
      </c>
      <c r="G43" s="17">
        <f t="shared" si="2"/>
        <v>1.0313123723691051</v>
      </c>
      <c r="H43" s="17">
        <f t="shared" si="3"/>
        <v>0.45688538545287116</v>
      </c>
      <c r="I43">
        <f t="shared" si="4"/>
        <v>36</v>
      </c>
      <c r="J43" s="17">
        <f t="shared" si="5"/>
        <v>0.45688538545287116</v>
      </c>
      <c r="K43" s="17">
        <f t="shared" si="6"/>
        <v>0.74409887891098814</v>
      </c>
      <c r="L43" s="17">
        <f t="shared" si="7"/>
        <v>1.0313123723691051</v>
      </c>
    </row>
    <row r="44" spans="1:12" x14ac:dyDescent="0.25">
      <c r="A44">
        <v>37</v>
      </c>
      <c r="B44" t="str" cm="1">
        <f t="array" ref="B44">INDEX(Sheet1!$A:$A,267-$A44)</f>
        <v>L1U7H07</v>
      </c>
      <c r="C44" s="17" cm="1">
        <f t="array" ref="C44">INDEX(Sheet1!$K:$K,267-$A44)</f>
        <v>0.75005547132879158</v>
      </c>
      <c r="D44" s="17" cm="1">
        <f t="array" ref="D44">INDEX(Sheet1!$Q:$Q,267-$A44)</f>
        <v>0.12881326841631227</v>
      </c>
      <c r="E44" s="17">
        <f t="shared" si="0"/>
        <v>0.31998989784677906</v>
      </c>
      <c r="F44" s="17">
        <f t="shared" si="1"/>
        <v>0.43006557348201252</v>
      </c>
      <c r="G44" s="17">
        <f t="shared" si="2"/>
        <v>1.0700453691755707</v>
      </c>
      <c r="H44" s="17">
        <f t="shared" si="3"/>
        <v>0.43006557348201252</v>
      </c>
      <c r="I44">
        <f t="shared" si="4"/>
        <v>37</v>
      </c>
      <c r="J44" s="17">
        <f t="shared" si="5"/>
        <v>0.43006557348201252</v>
      </c>
      <c r="K44" s="17">
        <f t="shared" si="6"/>
        <v>0.75005547132879158</v>
      </c>
      <c r="L44" s="17">
        <f t="shared" si="7"/>
        <v>1.0700453691755707</v>
      </c>
    </row>
    <row r="45" spans="1:12" x14ac:dyDescent="0.25">
      <c r="A45">
        <v>38</v>
      </c>
      <c r="B45" t="str" cm="1">
        <f t="array" ref="B45">INDEX(Sheet1!$A:$A,267-$A45)</f>
        <v>L1U6H01</v>
      </c>
      <c r="C45" s="17" cm="1">
        <f t="array" ref="C45">INDEX(Sheet1!$K:$K,267-$A45)</f>
        <v>0.75055102931263606</v>
      </c>
      <c r="D45" s="17" cm="1">
        <f t="array" ref="D45">INDEX(Sheet1!$Q:$Q,267-$A45)</f>
        <v>0.15235275339315762</v>
      </c>
      <c r="E45" s="17">
        <f t="shared" si="0"/>
        <v>0.37846522019294093</v>
      </c>
      <c r="F45" s="17">
        <f t="shared" si="1"/>
        <v>0.37208580911969513</v>
      </c>
      <c r="G45" s="17">
        <f t="shared" si="2"/>
        <v>1.1290162495055771</v>
      </c>
      <c r="H45" s="17">
        <f t="shared" si="3"/>
        <v>0.37208580911969513</v>
      </c>
      <c r="I45">
        <f t="shared" si="4"/>
        <v>38</v>
      </c>
      <c r="J45" s="17">
        <f t="shared" si="5"/>
        <v>0.37208580911969513</v>
      </c>
      <c r="K45" s="17">
        <f t="shared" si="6"/>
        <v>0.75055102931263606</v>
      </c>
      <c r="L45" s="17">
        <f t="shared" si="7"/>
        <v>1.1290162495055771</v>
      </c>
    </row>
    <row r="46" spans="1:12" x14ac:dyDescent="0.25">
      <c r="A46">
        <v>39</v>
      </c>
      <c r="B46" t="str" cm="1">
        <f t="array" ref="B46">INDEX(Sheet1!$A:$A,267-$A46)</f>
        <v>L2U4H05</v>
      </c>
      <c r="C46" s="17" cm="1">
        <f t="array" ref="C46">INDEX(Sheet1!$K:$K,267-$A46)</f>
        <v>0.75316749277081352</v>
      </c>
      <c r="D46" s="17" cm="1">
        <f t="array" ref="D46">INDEX(Sheet1!$Q:$Q,267-$A46)</f>
        <v>0.12826797835670206</v>
      </c>
      <c r="E46" s="17">
        <f t="shared" si="0"/>
        <v>0.31863532224585878</v>
      </c>
      <c r="F46" s="17">
        <f t="shared" si="1"/>
        <v>0.43453217052495474</v>
      </c>
      <c r="G46" s="17">
        <f t="shared" si="2"/>
        <v>1.0718028150166723</v>
      </c>
      <c r="H46" s="17">
        <f t="shared" si="3"/>
        <v>0.43453217052495474</v>
      </c>
      <c r="I46">
        <f t="shared" si="4"/>
        <v>39</v>
      </c>
      <c r="J46" s="17">
        <f t="shared" si="5"/>
        <v>0.43453217052495474</v>
      </c>
      <c r="K46" s="17">
        <f t="shared" si="6"/>
        <v>0.75316749277081352</v>
      </c>
      <c r="L46" s="17">
        <f t="shared" si="7"/>
        <v>1.0718028150166723</v>
      </c>
    </row>
    <row r="47" spans="1:12" x14ac:dyDescent="0.25">
      <c r="A47">
        <v>40</v>
      </c>
      <c r="B47" t="str" cm="1">
        <f t="array" ref="B47">INDEX(Sheet1!$A:$A,267-$A47)</f>
        <v>L2U5H08</v>
      </c>
      <c r="C47" s="17" cm="1">
        <f t="array" ref="C47">INDEX(Sheet1!$K:$K,267-$A47)</f>
        <v>0.75588287999579273</v>
      </c>
      <c r="D47" s="17" cm="1">
        <f t="array" ref="D47">INDEX(Sheet1!$Q:$Q,267-$A47)</f>
        <v>9.3039292637992557E-2</v>
      </c>
      <c r="E47" s="17">
        <f t="shared" si="0"/>
        <v>0.23112241551661217</v>
      </c>
      <c r="F47" s="17">
        <f t="shared" si="1"/>
        <v>0.52476046447918057</v>
      </c>
      <c r="G47" s="17">
        <f t="shared" si="2"/>
        <v>0.9870052955124049</v>
      </c>
      <c r="H47" s="17">
        <f t="shared" si="3"/>
        <v>0.52476046447918057</v>
      </c>
      <c r="I47">
        <f t="shared" si="4"/>
        <v>40</v>
      </c>
      <c r="J47" s="17">
        <f t="shared" si="5"/>
        <v>0.52476046447918057</v>
      </c>
      <c r="K47" s="17">
        <f t="shared" si="6"/>
        <v>0.75588287999579273</v>
      </c>
      <c r="L47" s="17">
        <f t="shared" si="7"/>
        <v>0.9870052955124049</v>
      </c>
    </row>
    <row r="48" spans="1:12" x14ac:dyDescent="0.25">
      <c r="A48">
        <v>41</v>
      </c>
      <c r="B48" t="str" cm="1">
        <f t="array" ref="B48">INDEX(Sheet1!$A:$A,267-$A48)</f>
        <v>L1U6H04</v>
      </c>
      <c r="C48" s="17" cm="1">
        <f t="array" ref="C48">INDEX(Sheet1!$K:$K,267-$A48)</f>
        <v>0.77458985482641696</v>
      </c>
      <c r="D48" s="17" cm="1">
        <f t="array" ref="D48">INDEX(Sheet1!$Q:$Q,267-$A48)</f>
        <v>0.28418501597658713</v>
      </c>
      <c r="E48" s="17">
        <f t="shared" si="0"/>
        <v>0.70595471530181009</v>
      </c>
      <c r="F48" s="17">
        <f t="shared" si="1"/>
        <v>6.863513952460687E-2</v>
      </c>
      <c r="G48" s="17">
        <f t="shared" si="2"/>
        <v>1.4805445701282269</v>
      </c>
      <c r="H48" s="17">
        <f t="shared" si="3"/>
        <v>7.7458985482641698E-2</v>
      </c>
      <c r="I48">
        <f t="shared" si="4"/>
        <v>41</v>
      </c>
      <c r="J48" s="17">
        <f t="shared" si="5"/>
        <v>7.7458985482641698E-2</v>
      </c>
      <c r="K48" s="17">
        <f t="shared" si="6"/>
        <v>0.77458985482641696</v>
      </c>
      <c r="L48" s="17">
        <f t="shared" si="7"/>
        <v>1.4805445701282269</v>
      </c>
    </row>
    <row r="49" spans="1:12" x14ac:dyDescent="0.25">
      <c r="A49">
        <v>42</v>
      </c>
      <c r="B49" t="str" cm="1">
        <f t="array" ref="B49">INDEX(Sheet1!$A:$A,267-$A49)</f>
        <v>L1U7H03</v>
      </c>
      <c r="C49" s="17" cm="1">
        <f t="array" ref="C49">INDEX(Sheet1!$K:$K,267-$A49)</f>
        <v>0.77681013422989753</v>
      </c>
      <c r="D49" s="17" cm="1">
        <f t="array" ref="D49">INDEX(Sheet1!$Q:$Q,267-$A49)</f>
        <v>0.13151812227055895</v>
      </c>
      <c r="E49" s="17">
        <f t="shared" si="0"/>
        <v>0.32670912731088647</v>
      </c>
      <c r="F49" s="17">
        <f t="shared" si="1"/>
        <v>0.45010100691901106</v>
      </c>
      <c r="G49" s="17">
        <f t="shared" si="2"/>
        <v>1.1035192615407841</v>
      </c>
      <c r="H49" s="17">
        <f t="shared" si="3"/>
        <v>0.45010100691901106</v>
      </c>
      <c r="I49">
        <f t="shared" si="4"/>
        <v>42</v>
      </c>
      <c r="J49" s="17">
        <f t="shared" si="5"/>
        <v>0.45010100691901106</v>
      </c>
      <c r="K49" s="17">
        <f t="shared" si="6"/>
        <v>0.77681013422989753</v>
      </c>
      <c r="L49" s="17">
        <f t="shared" si="7"/>
        <v>1.1035192615407841</v>
      </c>
    </row>
    <row r="50" spans="1:12" x14ac:dyDescent="0.25">
      <c r="A50">
        <v>43</v>
      </c>
      <c r="B50" t="str" cm="1">
        <f t="array" ref="B50">INDEX(Sheet1!$A:$A,267-$A50)</f>
        <v>L2U3H05</v>
      </c>
      <c r="C50" s="17" cm="1">
        <f t="array" ref="C50">INDEX(Sheet1!$K:$K,267-$A50)</f>
        <v>0.7937096901393117</v>
      </c>
      <c r="D50" s="17" cm="1">
        <f t="array" ref="D50">INDEX(Sheet1!$Q:$Q,267-$A50)</f>
        <v>0.38100870834779316</v>
      </c>
      <c r="E50" s="17">
        <f t="shared" si="0"/>
        <v>0.94647810091203577</v>
      </c>
      <c r="F50" s="17">
        <f t="shared" si="1"/>
        <v>-0.15276841077272407</v>
      </c>
      <c r="G50" s="17">
        <f t="shared" si="2"/>
        <v>1.7401877910513475</v>
      </c>
      <c r="H50" s="17">
        <f t="shared" si="3"/>
        <v>7.9370969013931175E-2</v>
      </c>
      <c r="I50">
        <f t="shared" si="4"/>
        <v>43</v>
      </c>
      <c r="J50" s="17">
        <f t="shared" si="5"/>
        <v>7.9370969013931175E-2</v>
      </c>
      <c r="K50" s="17">
        <f t="shared" si="6"/>
        <v>0.7937096901393117</v>
      </c>
      <c r="L50" s="17">
        <f t="shared" si="7"/>
        <v>1.7401877910513475</v>
      </c>
    </row>
    <row r="51" spans="1:12" x14ac:dyDescent="0.25">
      <c r="A51">
        <v>44</v>
      </c>
      <c r="B51" t="str" cm="1">
        <f t="array" ref="B51">INDEX(Sheet1!$A:$A,267-$A51)</f>
        <v>L2U5H04</v>
      </c>
      <c r="C51" s="17" cm="1">
        <f t="array" ref="C51">INDEX(Sheet1!$K:$K,267-$A51)</f>
        <v>0.79697638498499213</v>
      </c>
      <c r="D51" s="17" cm="1">
        <f t="array" ref="D51">INDEX(Sheet1!$Q:$Q,267-$A51)</f>
        <v>2.3574757312527329E-2</v>
      </c>
      <c r="E51" s="17">
        <f t="shared" si="0"/>
        <v>5.8562943685410998E-2</v>
      </c>
      <c r="F51" s="17">
        <f t="shared" si="1"/>
        <v>0.73841344129958109</v>
      </c>
      <c r="G51" s="17">
        <f t="shared" si="2"/>
        <v>0.85553932867040317</v>
      </c>
      <c r="H51" s="17">
        <f t="shared" si="3"/>
        <v>0.73841344129958109</v>
      </c>
      <c r="I51">
        <f t="shared" si="4"/>
        <v>44</v>
      </c>
      <c r="J51" s="17">
        <f t="shared" si="5"/>
        <v>0.73841344129958109</v>
      </c>
      <c r="K51" s="17">
        <f t="shared" si="6"/>
        <v>0.79697638498499213</v>
      </c>
      <c r="L51" s="17">
        <f t="shared" si="7"/>
        <v>0.85553932867040317</v>
      </c>
    </row>
    <row r="52" spans="1:12" x14ac:dyDescent="0.25">
      <c r="A52">
        <v>45</v>
      </c>
      <c r="B52" t="str" cm="1">
        <f t="array" ref="B52">INDEX(Sheet1!$A:$A,267-$A52)</f>
        <v>L2U1H01</v>
      </c>
      <c r="C52" s="17" cm="1">
        <f t="array" ref="C52">INDEX(Sheet1!$K:$K,267-$A52)</f>
        <v>0.80851374260875186</v>
      </c>
      <c r="D52" s="17" cm="1">
        <f t="array" ref="D52">INDEX(Sheet1!$Q:$Q,267-$A52)</f>
        <v>0.42086119415218354</v>
      </c>
      <c r="E52" s="17">
        <f t="shared" si="0"/>
        <v>1.0454771638057165</v>
      </c>
      <c r="F52" s="17">
        <f t="shared" si="1"/>
        <v>-0.23696342119696467</v>
      </c>
      <c r="G52" s="17">
        <f t="shared" si="2"/>
        <v>1.8539909064144684</v>
      </c>
      <c r="H52" s="17">
        <f t="shared" si="3"/>
        <v>8.0851374260875186E-2</v>
      </c>
      <c r="I52">
        <f t="shared" si="4"/>
        <v>45</v>
      </c>
      <c r="J52" s="17">
        <f t="shared" si="5"/>
        <v>8.0851374260875186E-2</v>
      </c>
      <c r="K52" s="17">
        <f t="shared" si="6"/>
        <v>0.80851374260875186</v>
      </c>
      <c r="L52" s="17">
        <f t="shared" si="7"/>
        <v>1.8539909064144684</v>
      </c>
    </row>
    <row r="53" spans="1:12" x14ac:dyDescent="0.25">
      <c r="A53">
        <v>46</v>
      </c>
      <c r="B53" t="str" cm="1">
        <f t="array" ref="B53">INDEX(Sheet1!$A:$A,267-$A53)</f>
        <v>L1U6H02</v>
      </c>
      <c r="C53" s="17" cm="1">
        <f t="array" ref="C53">INDEX(Sheet1!$K:$K,267-$A53)</f>
        <v>0.81462922806708804</v>
      </c>
      <c r="D53" s="17" cm="1">
        <f t="array" ref="D53">INDEX(Sheet1!$Q:$Q,267-$A53)</f>
        <v>0.34930519926568665</v>
      </c>
      <c r="E53" s="17">
        <f t="shared" si="0"/>
        <v>0.86772221840635588</v>
      </c>
      <c r="F53" s="17">
        <f t="shared" si="1"/>
        <v>-5.3092990339267843E-2</v>
      </c>
      <c r="G53" s="17">
        <f t="shared" si="2"/>
        <v>1.6823514464734439</v>
      </c>
      <c r="H53" s="17">
        <f t="shared" si="3"/>
        <v>8.1462922806708804E-2</v>
      </c>
      <c r="I53">
        <f t="shared" si="4"/>
        <v>46</v>
      </c>
      <c r="J53" s="17">
        <f t="shared" si="5"/>
        <v>8.1462922806708804E-2</v>
      </c>
      <c r="K53" s="17">
        <f t="shared" si="6"/>
        <v>0.81462922806708804</v>
      </c>
      <c r="L53" s="17">
        <f t="shared" si="7"/>
        <v>1.6823514464734439</v>
      </c>
    </row>
    <row r="54" spans="1:12" x14ac:dyDescent="0.25">
      <c r="A54">
        <v>47</v>
      </c>
      <c r="B54" t="str" cm="1">
        <f t="array" ref="B54">INDEX(Sheet1!$A:$A,267-$A54)</f>
        <v>L2U5H02</v>
      </c>
      <c r="C54" s="17" cm="1">
        <f t="array" ref="C54">INDEX(Sheet1!$K:$K,267-$A54)</f>
        <v>0.82317720342508827</v>
      </c>
      <c r="D54" s="17" cm="1">
        <f t="array" ref="D54">INDEX(Sheet1!$Q:$Q,267-$A54)</f>
        <v>0.13571865294914678</v>
      </c>
      <c r="E54" s="17">
        <f t="shared" si="0"/>
        <v>0.33714382397893067</v>
      </c>
      <c r="F54" s="17">
        <f t="shared" si="1"/>
        <v>0.4860333794461576</v>
      </c>
      <c r="G54" s="17">
        <f t="shared" si="2"/>
        <v>1.160321027404019</v>
      </c>
      <c r="H54" s="17">
        <f t="shared" si="3"/>
        <v>0.4860333794461576</v>
      </c>
      <c r="I54">
        <f t="shared" si="4"/>
        <v>47</v>
      </c>
      <c r="J54" s="17">
        <f t="shared" si="5"/>
        <v>0.4860333794461576</v>
      </c>
      <c r="K54" s="17">
        <f t="shared" si="6"/>
        <v>0.82317720342508827</v>
      </c>
      <c r="L54" s="17">
        <f t="shared" si="7"/>
        <v>1.160321027404019</v>
      </c>
    </row>
    <row r="55" spans="1:12" x14ac:dyDescent="0.25">
      <c r="A55">
        <v>48</v>
      </c>
      <c r="B55" t="str" cm="1">
        <f t="array" ref="B55">INDEX(Sheet1!$A:$A,267-$A55)</f>
        <v>L1U8H05</v>
      </c>
      <c r="C55" s="17" cm="1">
        <f t="array" ref="C55">INDEX(Sheet1!$K:$K,267-$A55)</f>
        <v>0.82931321902764255</v>
      </c>
      <c r="D55" s="17" cm="1">
        <f t="array" ref="D55">INDEX(Sheet1!$Q:$Q,267-$A55)</f>
        <v>0.14934726278381752</v>
      </c>
      <c r="E55" s="17">
        <f t="shared" si="0"/>
        <v>0.3709991676279677</v>
      </c>
      <c r="F55" s="17">
        <f t="shared" si="1"/>
        <v>0.45831405139967485</v>
      </c>
      <c r="G55" s="17">
        <f t="shared" si="2"/>
        <v>1.2003123866556102</v>
      </c>
      <c r="H55" s="17">
        <f t="shared" si="3"/>
        <v>0.45831405139967485</v>
      </c>
      <c r="I55">
        <f t="shared" si="4"/>
        <v>48</v>
      </c>
      <c r="J55" s="17">
        <f t="shared" si="5"/>
        <v>0.45831405139967485</v>
      </c>
      <c r="K55" s="17">
        <f t="shared" si="6"/>
        <v>0.82931321902764255</v>
      </c>
      <c r="L55" s="17">
        <f t="shared" si="7"/>
        <v>1.2003123866556102</v>
      </c>
    </row>
    <row r="56" spans="1:12" x14ac:dyDescent="0.25">
      <c r="A56">
        <v>49</v>
      </c>
      <c r="B56" t="str" cm="1">
        <f t="array" ref="B56">INDEX(Sheet1!$A:$A,267-$A56)</f>
        <v>L2U7H03</v>
      </c>
      <c r="C56" s="17" cm="1">
        <f t="array" ref="C56">INDEX(Sheet1!$K:$K,267-$A56)</f>
        <v>0.83298846127977499</v>
      </c>
      <c r="D56" s="17" cm="1">
        <f t="array" ref="D56">INDEX(Sheet1!$Q:$Q,267-$A56)</f>
        <v>0.1234757161839608</v>
      </c>
      <c r="E56" s="17">
        <f t="shared" si="0"/>
        <v>0.30673068305795759</v>
      </c>
      <c r="F56" s="17">
        <f t="shared" si="1"/>
        <v>0.52625777822181741</v>
      </c>
      <c r="G56" s="17">
        <f t="shared" si="2"/>
        <v>1.1397191443377326</v>
      </c>
      <c r="H56" s="17">
        <f t="shared" si="3"/>
        <v>0.52625777822181741</v>
      </c>
      <c r="I56">
        <f t="shared" si="4"/>
        <v>49</v>
      </c>
      <c r="J56" s="17">
        <f t="shared" si="5"/>
        <v>0.52625777822181741</v>
      </c>
      <c r="K56" s="17">
        <f t="shared" si="6"/>
        <v>0.83298846127977499</v>
      </c>
      <c r="L56" s="17">
        <f t="shared" si="7"/>
        <v>1.1397191443377326</v>
      </c>
    </row>
    <row r="57" spans="1:12" x14ac:dyDescent="0.25">
      <c r="A57">
        <v>50</v>
      </c>
      <c r="B57" t="str" cm="1">
        <f t="array" ref="B57">INDEX(Sheet1!$A:$A,267-$A57)</f>
        <v>L1U8H11</v>
      </c>
      <c r="C57" s="17" cm="1">
        <f t="array" ref="C57">INDEX(Sheet1!$K:$K,267-$A57)</f>
        <v>0.84117219482544525</v>
      </c>
      <c r="D57" s="17" cm="1">
        <f t="array" ref="D57">INDEX(Sheet1!$Q:$Q,267-$A57)</f>
        <v>2.6278398309142022E-2</v>
      </c>
      <c r="E57" s="17">
        <f t="shared" si="0"/>
        <v>6.5279160244135812E-2</v>
      </c>
      <c r="F57" s="17">
        <f t="shared" si="1"/>
        <v>0.77589303458130943</v>
      </c>
      <c r="G57" s="17">
        <f t="shared" si="2"/>
        <v>0.90645135506958108</v>
      </c>
      <c r="H57" s="17">
        <f t="shared" si="3"/>
        <v>0.77589303458130943</v>
      </c>
      <c r="I57">
        <f t="shared" si="4"/>
        <v>50</v>
      </c>
      <c r="J57" s="17">
        <f t="shared" si="5"/>
        <v>0.77589303458130943</v>
      </c>
      <c r="K57" s="17">
        <f t="shared" si="6"/>
        <v>0.84117219482544525</v>
      </c>
      <c r="L57" s="17">
        <f t="shared" si="7"/>
        <v>0.90645135506958108</v>
      </c>
    </row>
    <row r="58" spans="1:12" x14ac:dyDescent="0.25">
      <c r="A58">
        <v>51</v>
      </c>
      <c r="B58" t="str" cm="1">
        <f t="array" ref="B58">INDEX(Sheet1!$A:$A,267-$A58)</f>
        <v>L1U7H12</v>
      </c>
      <c r="C58" s="17" cm="1">
        <f t="array" ref="C58">INDEX(Sheet1!$K:$K,267-$A58)</f>
        <v>0.84401515258914273</v>
      </c>
      <c r="D58" s="17" cm="1">
        <f t="array" ref="D58">INDEX(Sheet1!$Q:$Q,267-$A58)</f>
        <v>0.26908157642766406</v>
      </c>
      <c r="E58" s="17">
        <f t="shared" si="0"/>
        <v>0.66843569154118898</v>
      </c>
      <c r="F58" s="17">
        <f t="shared" si="1"/>
        <v>0.17557946104795374</v>
      </c>
      <c r="G58" s="17">
        <f t="shared" si="2"/>
        <v>1.5124508441303317</v>
      </c>
      <c r="H58" s="17">
        <f t="shared" si="3"/>
        <v>0.17557946104795374</v>
      </c>
      <c r="I58">
        <f t="shared" si="4"/>
        <v>51</v>
      </c>
      <c r="J58" s="17">
        <f t="shared" si="5"/>
        <v>0.17557946104795374</v>
      </c>
      <c r="K58" s="17">
        <f t="shared" si="6"/>
        <v>0.84401515258914273</v>
      </c>
      <c r="L58" s="17">
        <f t="shared" si="7"/>
        <v>1.5124508441303317</v>
      </c>
    </row>
    <row r="59" spans="1:12" x14ac:dyDescent="0.25">
      <c r="A59">
        <v>52</v>
      </c>
      <c r="B59" t="str" cm="1">
        <f t="array" ref="B59">INDEX(Sheet1!$A:$A,267-$A59)</f>
        <v>L2U8H02</v>
      </c>
      <c r="C59" s="17" cm="1">
        <f t="array" ref="C59">INDEX(Sheet1!$K:$K,267-$A59)</f>
        <v>0.84635361355510863</v>
      </c>
      <c r="D59" s="17" cm="1">
        <f t="array" ref="D59">INDEX(Sheet1!$Q:$Q,267-$A59)</f>
        <v>0.10960637210134114</v>
      </c>
      <c r="E59" s="17">
        <f t="shared" si="0"/>
        <v>0.27227732238508079</v>
      </c>
      <c r="F59" s="17">
        <f t="shared" si="1"/>
        <v>0.5740762911700279</v>
      </c>
      <c r="G59" s="17">
        <f t="shared" si="2"/>
        <v>1.1186309359401894</v>
      </c>
      <c r="H59" s="17">
        <f t="shared" si="3"/>
        <v>0.5740762911700279</v>
      </c>
      <c r="I59">
        <f t="shared" si="4"/>
        <v>52</v>
      </c>
      <c r="J59" s="17">
        <f t="shared" si="5"/>
        <v>0.5740762911700279</v>
      </c>
      <c r="K59" s="17">
        <f t="shared" si="6"/>
        <v>0.84635361355510863</v>
      </c>
      <c r="L59" s="17">
        <f t="shared" si="7"/>
        <v>1.1186309359401894</v>
      </c>
    </row>
    <row r="60" spans="1:12" x14ac:dyDescent="0.25">
      <c r="A60">
        <v>53</v>
      </c>
      <c r="B60" t="str" cm="1">
        <f t="array" ref="B60">INDEX(Sheet1!$A:$A,267-$A60)</f>
        <v>L2U3H01</v>
      </c>
      <c r="C60" s="17" cm="1">
        <f t="array" ref="C60">INDEX(Sheet1!$K:$K,267-$A60)</f>
        <v>0.84759043473419615</v>
      </c>
      <c r="D60" s="17" cm="1">
        <f t="array" ref="D60">INDEX(Sheet1!$Q:$Q,267-$A60)</f>
        <v>0.15681608700045155</v>
      </c>
      <c r="E60" s="17">
        <f t="shared" si="0"/>
        <v>0.38955275552694241</v>
      </c>
      <c r="F60" s="17">
        <f t="shared" si="1"/>
        <v>0.45803767920725375</v>
      </c>
      <c r="G60" s="17">
        <f t="shared" si="2"/>
        <v>1.2371431902611385</v>
      </c>
      <c r="H60" s="17">
        <f t="shared" si="3"/>
        <v>0.45803767920725375</v>
      </c>
      <c r="I60">
        <f t="shared" si="4"/>
        <v>53</v>
      </c>
      <c r="J60" s="17">
        <f t="shared" si="5"/>
        <v>0.45803767920725375</v>
      </c>
      <c r="K60" s="17">
        <f t="shared" si="6"/>
        <v>0.84759043473419615</v>
      </c>
      <c r="L60" s="17">
        <f t="shared" si="7"/>
        <v>1.2371431902611385</v>
      </c>
    </row>
    <row r="61" spans="1:12" x14ac:dyDescent="0.25">
      <c r="A61">
        <v>54</v>
      </c>
      <c r="B61" t="str" cm="1">
        <f t="array" ref="B61">INDEX(Sheet1!$A:$A,267-$A61)</f>
        <v>L1U7H04</v>
      </c>
      <c r="C61" s="17" cm="1">
        <f t="array" ref="C61">INDEX(Sheet1!$K:$K,267-$A61)</f>
        <v>0.84777674134187353</v>
      </c>
      <c r="D61" s="17" cm="1">
        <f t="array" ref="D61">INDEX(Sheet1!$Q:$Q,267-$A61)</f>
        <v>5.9594854216839896E-2</v>
      </c>
      <c r="E61" s="17">
        <f t="shared" si="0"/>
        <v>0.14804182478631517</v>
      </c>
      <c r="F61" s="17">
        <f t="shared" si="1"/>
        <v>0.69973491655555842</v>
      </c>
      <c r="G61" s="17">
        <f t="shared" si="2"/>
        <v>0.99581856612818864</v>
      </c>
      <c r="H61" s="17">
        <f t="shared" si="3"/>
        <v>0.69973491655555842</v>
      </c>
      <c r="I61">
        <f t="shared" si="4"/>
        <v>54</v>
      </c>
      <c r="J61" s="17">
        <f t="shared" si="5"/>
        <v>0.69973491655555842</v>
      </c>
      <c r="K61" s="17">
        <f t="shared" si="6"/>
        <v>0.84777674134187353</v>
      </c>
      <c r="L61" s="17">
        <f t="shared" si="7"/>
        <v>0.99581856612818864</v>
      </c>
    </row>
    <row r="62" spans="1:12" x14ac:dyDescent="0.25">
      <c r="A62">
        <v>55</v>
      </c>
      <c r="B62" t="str" cm="1">
        <f t="array" ref="B62">INDEX(Sheet1!$A:$A,267-$A62)</f>
        <v>L2U6H01</v>
      </c>
      <c r="C62" s="17" cm="1">
        <f t="array" ref="C62">INDEX(Sheet1!$K:$K,267-$A62)</f>
        <v>0.86504289840506732</v>
      </c>
      <c r="D62" s="17" cm="1">
        <f t="array" ref="D62">INDEX(Sheet1!$Q:$Q,267-$A62)</f>
        <v>0.42233673072527284</v>
      </c>
      <c r="E62" s="17">
        <f t="shared" si="0"/>
        <v>1.0491425998519945</v>
      </c>
      <c r="F62" s="17">
        <f t="shared" si="1"/>
        <v>-0.18409970144692722</v>
      </c>
      <c r="G62" s="17">
        <f t="shared" si="2"/>
        <v>1.9141854982570619</v>
      </c>
      <c r="H62" s="17">
        <f t="shared" si="3"/>
        <v>8.6504289840506732E-2</v>
      </c>
      <c r="I62">
        <f t="shared" si="4"/>
        <v>55</v>
      </c>
      <c r="J62" s="17">
        <f t="shared" si="5"/>
        <v>8.6504289840506732E-2</v>
      </c>
      <c r="K62" s="17">
        <f t="shared" si="6"/>
        <v>0.86504289840506732</v>
      </c>
      <c r="L62" s="17">
        <f t="shared" si="7"/>
        <v>1.9141854982570619</v>
      </c>
    </row>
    <row r="63" spans="1:12" x14ac:dyDescent="0.25">
      <c r="A63">
        <v>56</v>
      </c>
      <c r="B63" t="str" cm="1">
        <f t="array" ref="B63">INDEX(Sheet1!$A:$A,267-$A63)</f>
        <v>L2U3H10</v>
      </c>
      <c r="C63" s="17" cm="1">
        <f t="array" ref="C63">INDEX(Sheet1!$K:$K,267-$A63)</f>
        <v>0.86989994250270186</v>
      </c>
      <c r="D63" s="17" cm="1">
        <f t="array" ref="D63">INDEX(Sheet1!$Q:$Q,267-$A63)</f>
        <v>0.3635606933334678</v>
      </c>
      <c r="E63" s="17">
        <f t="shared" si="0"/>
        <v>0.90313482881976415</v>
      </c>
      <c r="F63" s="17">
        <f t="shared" si="1"/>
        <v>-3.3234886317062284E-2</v>
      </c>
      <c r="G63" s="17">
        <f t="shared" si="2"/>
        <v>1.7730347713224659</v>
      </c>
      <c r="H63" s="17">
        <f t="shared" si="3"/>
        <v>8.6989994250270181E-2</v>
      </c>
      <c r="I63">
        <f t="shared" si="4"/>
        <v>56</v>
      </c>
      <c r="J63" s="17">
        <f t="shared" si="5"/>
        <v>8.6989994250270181E-2</v>
      </c>
      <c r="K63" s="17">
        <f t="shared" si="6"/>
        <v>0.86989994250270186</v>
      </c>
      <c r="L63" s="17">
        <f t="shared" si="7"/>
        <v>1.7730347713224659</v>
      </c>
    </row>
    <row r="64" spans="1:12" x14ac:dyDescent="0.25">
      <c r="A64">
        <v>57</v>
      </c>
      <c r="B64" t="str" cm="1">
        <f t="array" ref="B64">INDEX(Sheet1!$A:$A,267-$A64)</f>
        <v>L2U4H02</v>
      </c>
      <c r="C64" s="17" cm="1">
        <f t="array" ref="C64">INDEX(Sheet1!$K:$K,267-$A64)</f>
        <v>0.87437813320119384</v>
      </c>
      <c r="D64" s="17" cm="1">
        <f t="array" ref="D64">INDEX(Sheet1!$Q:$Q,267-$A64)</f>
        <v>0.12487556894290255</v>
      </c>
      <c r="E64" s="17">
        <f t="shared" si="0"/>
        <v>0.3102081100873425</v>
      </c>
      <c r="F64" s="17">
        <f t="shared" si="1"/>
        <v>0.56417002311385134</v>
      </c>
      <c r="G64" s="17">
        <f t="shared" si="2"/>
        <v>1.1845862432885363</v>
      </c>
      <c r="H64" s="17">
        <f t="shared" si="3"/>
        <v>0.56417002311385134</v>
      </c>
      <c r="I64">
        <f t="shared" si="4"/>
        <v>57</v>
      </c>
      <c r="J64" s="17">
        <f t="shared" si="5"/>
        <v>0.56417002311385134</v>
      </c>
      <c r="K64" s="17">
        <f t="shared" si="6"/>
        <v>0.87437813320119384</v>
      </c>
      <c r="L64" s="17">
        <f t="shared" si="7"/>
        <v>1.1845862432885363</v>
      </c>
    </row>
    <row r="65" spans="1:12" x14ac:dyDescent="0.25">
      <c r="A65">
        <v>58</v>
      </c>
      <c r="B65" t="str" cm="1">
        <f t="array" ref="B65">INDEX(Sheet1!$A:$A,267-$A65)</f>
        <v>L1U7H01</v>
      </c>
      <c r="C65" s="17" cm="1">
        <f t="array" ref="C65">INDEX(Sheet1!$K:$K,267-$A65)</f>
        <v>0.88678455085217833</v>
      </c>
      <c r="D65" s="17" cm="1">
        <f t="array" ref="D65">INDEX(Sheet1!$Q:$Q,267-$A65)</f>
        <v>6.5355266470404599E-2</v>
      </c>
      <c r="E65" s="17">
        <f t="shared" si="0"/>
        <v>0.16235148210062395</v>
      </c>
      <c r="F65" s="17">
        <f t="shared" si="1"/>
        <v>0.72443306875155433</v>
      </c>
      <c r="G65" s="17">
        <f t="shared" si="2"/>
        <v>1.0491360329528023</v>
      </c>
      <c r="H65" s="17">
        <f t="shared" si="3"/>
        <v>0.72443306875155433</v>
      </c>
      <c r="I65">
        <f t="shared" si="4"/>
        <v>58</v>
      </c>
      <c r="J65" s="17">
        <f t="shared" si="5"/>
        <v>0.72443306875155433</v>
      </c>
      <c r="K65" s="17">
        <f t="shared" si="6"/>
        <v>0.88678455085217833</v>
      </c>
      <c r="L65" s="17">
        <f t="shared" si="7"/>
        <v>1.0491360329528023</v>
      </c>
    </row>
    <row r="66" spans="1:12" x14ac:dyDescent="0.25">
      <c r="A66">
        <v>59</v>
      </c>
      <c r="B66" t="str" cm="1">
        <f t="array" ref="B66">INDEX(Sheet1!$A:$A,267-$A66)</f>
        <v>L1U6H08</v>
      </c>
      <c r="C66" s="17" cm="1">
        <f t="array" ref="C66">INDEX(Sheet1!$K:$K,267-$A66)</f>
        <v>0.91449594741974027</v>
      </c>
      <c r="D66" s="17" cm="1">
        <f t="array" ref="D66">INDEX(Sheet1!$Q:$Q,267-$A66)</f>
        <v>0.44523820754010218</v>
      </c>
      <c r="E66" s="17">
        <f t="shared" si="0"/>
        <v>1.1060330220624881</v>
      </c>
      <c r="F66" s="17">
        <f t="shared" si="1"/>
        <v>-0.19153707464274783</v>
      </c>
      <c r="G66" s="17">
        <f t="shared" si="2"/>
        <v>2.0205289694822284</v>
      </c>
      <c r="H66" s="17">
        <f t="shared" si="3"/>
        <v>9.1449594741974033E-2</v>
      </c>
      <c r="I66">
        <f t="shared" si="4"/>
        <v>59</v>
      </c>
      <c r="J66" s="17">
        <f t="shared" si="5"/>
        <v>9.1449594741974033E-2</v>
      </c>
      <c r="K66" s="17">
        <f t="shared" si="6"/>
        <v>0.91449594741974027</v>
      </c>
      <c r="L66" s="17">
        <f t="shared" si="7"/>
        <v>2.0205289694822284</v>
      </c>
    </row>
    <row r="67" spans="1:12" x14ac:dyDescent="0.25">
      <c r="A67">
        <v>60</v>
      </c>
      <c r="B67" t="str" cm="1">
        <f t="array" ref="B67">INDEX(Sheet1!$A:$A,267-$A67)</f>
        <v>L1U8H04</v>
      </c>
      <c r="C67" s="17" cm="1">
        <f t="array" ref="C67">INDEX(Sheet1!$K:$K,267-$A67)</f>
        <v>0.92613218494982452</v>
      </c>
      <c r="D67" s="17" cm="1">
        <f t="array" ref="D67">INDEX(Sheet1!$Q:$Q,267-$A67)</f>
        <v>9.9974152826978538E-2</v>
      </c>
      <c r="E67" s="17">
        <f t="shared" si="0"/>
        <v>0.24834956323778826</v>
      </c>
      <c r="F67" s="17">
        <f t="shared" si="1"/>
        <v>0.67778262171203629</v>
      </c>
      <c r="G67" s="17">
        <f t="shared" si="2"/>
        <v>1.1744817481876129</v>
      </c>
      <c r="H67" s="17">
        <f t="shared" si="3"/>
        <v>0.67778262171203629</v>
      </c>
      <c r="I67">
        <f t="shared" si="4"/>
        <v>60</v>
      </c>
      <c r="J67" s="17">
        <f t="shared" si="5"/>
        <v>0.67778262171203629</v>
      </c>
      <c r="K67" s="17">
        <f t="shared" si="6"/>
        <v>0.92613218494982452</v>
      </c>
      <c r="L67" s="17">
        <f t="shared" si="7"/>
        <v>1.1744817481876129</v>
      </c>
    </row>
    <row r="68" spans="1:12" x14ac:dyDescent="0.25">
      <c r="A68">
        <v>61</v>
      </c>
      <c r="B68" t="str" cm="1">
        <f t="array" ref="B68">INDEX(Sheet1!$A:$A,267-$A68)</f>
        <v>L2U5H12</v>
      </c>
      <c r="C68" s="17" cm="1">
        <f t="array" ref="C68">INDEX(Sheet1!$K:$K,267-$A68)</f>
        <v>0.93111358464052796</v>
      </c>
      <c r="D68" s="17" cm="1">
        <f t="array" ref="D68">INDEX(Sheet1!$Q:$Q,267-$A68)</f>
        <v>2.2314268912953822E-2</v>
      </c>
      <c r="E68" s="17">
        <f t="shared" si="0"/>
        <v>5.543171691680663E-2</v>
      </c>
      <c r="F68" s="17">
        <f t="shared" si="1"/>
        <v>0.87568186772372136</v>
      </c>
      <c r="G68" s="17">
        <f t="shared" si="2"/>
        <v>0.98654530155733455</v>
      </c>
      <c r="H68" s="17">
        <f t="shared" si="3"/>
        <v>0.87568186772372136</v>
      </c>
      <c r="I68">
        <f t="shared" si="4"/>
        <v>61</v>
      </c>
      <c r="J68" s="17">
        <f t="shared" si="5"/>
        <v>0.87568186772372136</v>
      </c>
      <c r="K68" s="17">
        <f t="shared" si="6"/>
        <v>0.93111358464052796</v>
      </c>
      <c r="L68" s="17">
        <f t="shared" si="7"/>
        <v>0.98654530155733455</v>
      </c>
    </row>
    <row r="69" spans="1:12" x14ac:dyDescent="0.25">
      <c r="A69">
        <v>62</v>
      </c>
      <c r="B69" t="str" cm="1">
        <f t="array" ref="B69">INDEX(Sheet1!$A:$A,267-$A69)</f>
        <v>L2U5H10</v>
      </c>
      <c r="C69" s="17" cm="1">
        <f t="array" ref="C69">INDEX(Sheet1!$K:$K,267-$A69)</f>
        <v>0.94992810214524204</v>
      </c>
      <c r="D69" s="17" cm="1">
        <f t="array" ref="D69">INDEX(Sheet1!$Q:$Q,267-$A69)</f>
        <v>7.0612755682706599E-2</v>
      </c>
      <c r="E69" s="17">
        <f t="shared" si="0"/>
        <v>0.17541180932202391</v>
      </c>
      <c r="F69" s="17">
        <f t="shared" si="1"/>
        <v>0.7745162928232181</v>
      </c>
      <c r="G69" s="17">
        <f t="shared" si="2"/>
        <v>1.125339911467266</v>
      </c>
      <c r="H69" s="17">
        <f t="shared" si="3"/>
        <v>0.7745162928232181</v>
      </c>
      <c r="I69">
        <f t="shared" si="4"/>
        <v>62</v>
      </c>
      <c r="J69" s="17">
        <f t="shared" si="5"/>
        <v>0.7745162928232181</v>
      </c>
      <c r="K69" s="17">
        <f t="shared" si="6"/>
        <v>0.94992810214524204</v>
      </c>
      <c r="L69" s="17">
        <f t="shared" si="7"/>
        <v>1.125339911467266</v>
      </c>
    </row>
    <row r="70" spans="1:12" x14ac:dyDescent="0.25">
      <c r="A70">
        <v>63</v>
      </c>
      <c r="B70" t="str" cm="1">
        <f t="array" ref="B70">INDEX(Sheet1!$A:$A,267-$A70)</f>
        <v>L2U5H05</v>
      </c>
      <c r="C70" s="17" cm="1">
        <f t="array" ref="C70">INDEX(Sheet1!$K:$K,267-$A70)</f>
        <v>0.96225825959506894</v>
      </c>
      <c r="D70" s="17" cm="1">
        <f t="array" ref="D70">INDEX(Sheet1!$Q:$Q,267-$A70)</f>
        <v>8.6580164330154349E-2</v>
      </c>
      <c r="E70" s="17">
        <f t="shared" si="0"/>
        <v>0.21507705130207719</v>
      </c>
      <c r="F70" s="17">
        <f t="shared" si="1"/>
        <v>0.74718120829299173</v>
      </c>
      <c r="G70" s="17">
        <f t="shared" si="2"/>
        <v>1.177335310897146</v>
      </c>
      <c r="H70" s="17">
        <f t="shared" si="3"/>
        <v>0.74718120829299173</v>
      </c>
      <c r="I70">
        <f t="shared" si="4"/>
        <v>63</v>
      </c>
      <c r="J70" s="17">
        <f t="shared" si="5"/>
        <v>0.74718120829299173</v>
      </c>
      <c r="K70" s="17">
        <f t="shared" si="6"/>
        <v>0.96225825959506894</v>
      </c>
      <c r="L70" s="17">
        <f t="shared" si="7"/>
        <v>1.177335310897146</v>
      </c>
    </row>
    <row r="71" spans="1:12" x14ac:dyDescent="0.25">
      <c r="A71">
        <v>64</v>
      </c>
      <c r="B71" t="str" cm="1">
        <f t="array" ref="B71">INDEX(Sheet1!$A:$A,267-$A71)</f>
        <v>L1U8H09</v>
      </c>
      <c r="C71" s="17" cm="1">
        <f t="array" ref="C71">INDEX(Sheet1!$K:$K,267-$A71)</f>
        <v>0.96268185800414063</v>
      </c>
      <c r="D71" s="17" cm="1">
        <f t="array" ref="D71">INDEX(Sheet1!$Q:$Q,267-$A71)</f>
        <v>0.15786468908437934</v>
      </c>
      <c r="E71" s="17">
        <f t="shared" si="0"/>
        <v>0.39215762750824745</v>
      </c>
      <c r="F71" s="17">
        <f t="shared" si="1"/>
        <v>0.57052423049589318</v>
      </c>
      <c r="G71" s="17">
        <f t="shared" si="2"/>
        <v>1.3548394855123882</v>
      </c>
      <c r="H71" s="17">
        <f t="shared" si="3"/>
        <v>0.57052423049589318</v>
      </c>
      <c r="I71">
        <f t="shared" si="4"/>
        <v>64</v>
      </c>
      <c r="J71" s="17">
        <f t="shared" si="5"/>
        <v>0.57052423049589318</v>
      </c>
      <c r="K71" s="17">
        <f t="shared" si="6"/>
        <v>0.96268185800414063</v>
      </c>
      <c r="L71" s="17">
        <f t="shared" si="7"/>
        <v>1.3548394855123882</v>
      </c>
    </row>
    <row r="72" spans="1:12" x14ac:dyDescent="0.25">
      <c r="A72">
        <v>65</v>
      </c>
      <c r="B72" t="str" cm="1">
        <f t="array" ref="B72">INDEX(Sheet1!$A:$A,267-$A72)</f>
        <v>L2U7H04</v>
      </c>
      <c r="C72" s="17" cm="1">
        <f t="array" ref="C72">INDEX(Sheet1!$K:$K,267-$A72)</f>
        <v>0.97620924306438162</v>
      </c>
      <c r="D72" s="17" cm="1">
        <f t="array" ref="D72">INDEX(Sheet1!$Q:$Q,267-$A72)</f>
        <v>0.13831198038301681</v>
      </c>
      <c r="E72" s="17">
        <f t="shared" si="0"/>
        <v>0.34358600645632392</v>
      </c>
      <c r="F72" s="17">
        <f t="shared" si="1"/>
        <v>0.63262323660805775</v>
      </c>
      <c r="G72" s="17">
        <f t="shared" si="2"/>
        <v>1.3197952495207055</v>
      </c>
      <c r="H72" s="17">
        <f t="shared" si="3"/>
        <v>0.63262323660805775</v>
      </c>
      <c r="I72">
        <f t="shared" si="4"/>
        <v>65</v>
      </c>
      <c r="J72" s="17">
        <f t="shared" si="5"/>
        <v>0.63262323660805775</v>
      </c>
      <c r="K72" s="17">
        <f t="shared" si="6"/>
        <v>0.97620924306438162</v>
      </c>
      <c r="L72" s="17">
        <f t="shared" si="7"/>
        <v>1.3197952495207055</v>
      </c>
    </row>
    <row r="73" spans="1:12" x14ac:dyDescent="0.25">
      <c r="A73">
        <v>66</v>
      </c>
      <c r="B73" t="str" cm="1">
        <f t="array" ref="B73">INDEX(Sheet1!$A:$A,267-$A73)</f>
        <v>L2U4H03</v>
      </c>
      <c r="C73" s="17" cm="1">
        <f t="array" ref="C73">INDEX(Sheet1!$K:$K,267-$A73)</f>
        <v>0.98592478562543195</v>
      </c>
      <c r="D73" s="17" cm="1">
        <f t="array" ref="D73">INDEX(Sheet1!$Q:$Q,267-$A73)</f>
        <v>0.38305543711532075</v>
      </c>
      <c r="E73" s="17">
        <f t="shared" ref="E73:E136" si="8">$B$5*D73/SQRT($B$3)</f>
        <v>0.9515624570291753</v>
      </c>
      <c r="F73" s="17">
        <f t="shared" ref="F73:F136" si="9">C73-E73</f>
        <v>3.4362328596256653E-2</v>
      </c>
      <c r="G73" s="17">
        <f t="shared" ref="G73:G136" si="10">C73+E73</f>
        <v>1.9374872426546073</v>
      </c>
      <c r="H73" s="17">
        <f t="shared" ref="H73:H136" si="11">MAX(F73,C73/10)</f>
        <v>9.859247856254319E-2</v>
      </c>
      <c r="I73">
        <f t="shared" ref="I73:I136" si="12">A73</f>
        <v>66</v>
      </c>
      <c r="J73" s="17">
        <f t="shared" ref="J73:J136" si="13">H73</f>
        <v>9.859247856254319E-2</v>
      </c>
      <c r="K73" s="17">
        <f t="shared" ref="K73:K136" si="14">C73</f>
        <v>0.98592478562543195</v>
      </c>
      <c r="L73" s="17">
        <f t="shared" ref="L73:L136" si="15">G73</f>
        <v>1.9374872426546073</v>
      </c>
    </row>
    <row r="74" spans="1:12" x14ac:dyDescent="0.25">
      <c r="A74">
        <v>67</v>
      </c>
      <c r="B74" t="str" cm="1">
        <f t="array" ref="B74">INDEX(Sheet1!$A:$A,267-$A74)</f>
        <v>L2U7H11</v>
      </c>
      <c r="C74" s="17" cm="1">
        <f t="array" ref="C74">INDEX(Sheet1!$K:$K,267-$A74)</f>
        <v>0.98868561851400938</v>
      </c>
      <c r="D74" s="17" cm="1">
        <f t="array" ref="D74">INDEX(Sheet1!$Q:$Q,267-$A74)</f>
        <v>0.28805354170608322</v>
      </c>
      <c r="E74" s="17">
        <f t="shared" si="8"/>
        <v>0.71556466595532786</v>
      </c>
      <c r="F74" s="17">
        <f t="shared" si="9"/>
        <v>0.27312095255868152</v>
      </c>
      <c r="G74" s="17">
        <f t="shared" si="10"/>
        <v>1.7042502844693372</v>
      </c>
      <c r="H74" s="17">
        <f t="shared" si="11"/>
        <v>0.27312095255868152</v>
      </c>
      <c r="I74">
        <f t="shared" si="12"/>
        <v>67</v>
      </c>
      <c r="J74" s="17">
        <f t="shared" si="13"/>
        <v>0.27312095255868152</v>
      </c>
      <c r="K74" s="17">
        <f t="shared" si="14"/>
        <v>0.98868561851400938</v>
      </c>
      <c r="L74" s="17">
        <f t="shared" si="15"/>
        <v>1.7042502844693372</v>
      </c>
    </row>
    <row r="75" spans="1:12" x14ac:dyDescent="0.25">
      <c r="A75">
        <v>68</v>
      </c>
      <c r="B75" t="str" cm="1">
        <f t="array" ref="B75">INDEX(Sheet1!$A:$A,267-$A75)</f>
        <v>L2U3H03</v>
      </c>
      <c r="C75" s="17" cm="1">
        <f t="array" ref="C75">INDEX(Sheet1!$K:$K,267-$A75)</f>
        <v>1.0035291917910629</v>
      </c>
      <c r="D75" s="17" cm="1">
        <f t="array" ref="D75">INDEX(Sheet1!$Q:$Q,267-$A75)</f>
        <v>0.44365119032213723</v>
      </c>
      <c r="E75" s="17">
        <f t="shared" si="8"/>
        <v>1.1020906527421441</v>
      </c>
      <c r="F75" s="17">
        <f t="shared" si="9"/>
        <v>-9.8561460951081203E-2</v>
      </c>
      <c r="G75" s="17">
        <f t="shared" si="10"/>
        <v>2.1056198445332068</v>
      </c>
      <c r="H75" s="17">
        <f t="shared" si="11"/>
        <v>0.1003529191791063</v>
      </c>
      <c r="I75">
        <f t="shared" si="12"/>
        <v>68</v>
      </c>
      <c r="J75" s="17">
        <f t="shared" si="13"/>
        <v>0.1003529191791063</v>
      </c>
      <c r="K75" s="17">
        <f t="shared" si="14"/>
        <v>1.0035291917910629</v>
      </c>
      <c r="L75" s="17">
        <f t="shared" si="15"/>
        <v>2.1056198445332068</v>
      </c>
    </row>
    <row r="76" spans="1:12" x14ac:dyDescent="0.25">
      <c r="A76">
        <v>69</v>
      </c>
      <c r="B76" t="str" cm="1">
        <f t="array" ref="B76">INDEX(Sheet1!$A:$A,267-$A76)</f>
        <v>L2U4H01</v>
      </c>
      <c r="C76" s="17" cm="1">
        <f t="array" ref="C76">INDEX(Sheet1!$K:$K,267-$A76)</f>
        <v>1.0186320113179295</v>
      </c>
      <c r="D76" s="17" cm="1">
        <f t="array" ref="D76">INDEX(Sheet1!$Q:$Q,267-$A76)</f>
        <v>0.49763367780664719</v>
      </c>
      <c r="E76" s="17">
        <f t="shared" si="8"/>
        <v>1.2361905856765056</v>
      </c>
      <c r="F76" s="17">
        <f t="shared" si="9"/>
        <v>-0.21755857435857617</v>
      </c>
      <c r="G76" s="17">
        <f t="shared" si="10"/>
        <v>2.2548225969944351</v>
      </c>
      <c r="H76" s="17">
        <f t="shared" si="11"/>
        <v>0.10186320113179295</v>
      </c>
      <c r="I76">
        <f t="shared" si="12"/>
        <v>69</v>
      </c>
      <c r="J76" s="17">
        <f t="shared" si="13"/>
        <v>0.10186320113179295</v>
      </c>
      <c r="K76" s="17">
        <f t="shared" si="14"/>
        <v>1.0186320113179295</v>
      </c>
      <c r="L76" s="17">
        <f t="shared" si="15"/>
        <v>2.2548225969944351</v>
      </c>
    </row>
    <row r="77" spans="1:12" x14ac:dyDescent="0.25">
      <c r="A77">
        <v>70</v>
      </c>
      <c r="B77" t="str" cm="1">
        <f t="array" ref="B77">INDEX(Sheet1!$A:$A,267-$A77)</f>
        <v>L2U8H08</v>
      </c>
      <c r="C77" s="17" cm="1">
        <f t="array" ref="C77">INDEX(Sheet1!$K:$K,267-$A77)</f>
        <v>1.0336978549840496</v>
      </c>
      <c r="D77" s="17" cm="1">
        <f t="array" ref="D77">INDEX(Sheet1!$Q:$Q,267-$A77)</f>
        <v>0.26179652385790048</v>
      </c>
      <c r="E77" s="17">
        <f t="shared" si="8"/>
        <v>0.65033861772055557</v>
      </c>
      <c r="F77" s="17">
        <f t="shared" si="9"/>
        <v>0.38335923726349408</v>
      </c>
      <c r="G77" s="17">
        <f t="shared" si="10"/>
        <v>1.6840364727046051</v>
      </c>
      <c r="H77" s="17">
        <f t="shared" si="11"/>
        <v>0.38335923726349408</v>
      </c>
      <c r="I77">
        <f t="shared" si="12"/>
        <v>70</v>
      </c>
      <c r="J77" s="17">
        <f t="shared" si="13"/>
        <v>0.38335923726349408</v>
      </c>
      <c r="K77" s="17">
        <f t="shared" si="14"/>
        <v>1.0336978549840496</v>
      </c>
      <c r="L77" s="17">
        <f t="shared" si="15"/>
        <v>1.6840364727046051</v>
      </c>
    </row>
    <row r="78" spans="1:12" x14ac:dyDescent="0.25">
      <c r="A78">
        <v>71</v>
      </c>
      <c r="B78" t="str" cm="1">
        <f t="array" ref="B78">INDEX(Sheet1!$A:$A,267-$A78)</f>
        <v>L2U3H08</v>
      </c>
      <c r="C78" s="17" cm="1">
        <f t="array" ref="C78">INDEX(Sheet1!$K:$K,267-$A78)</f>
        <v>1.0508215695919885</v>
      </c>
      <c r="D78" s="17" cm="1">
        <f t="array" ref="D78">INDEX(Sheet1!$Q:$Q,267-$A78)</f>
        <v>0.4822540284280189</v>
      </c>
      <c r="E78" s="17">
        <f t="shared" si="8"/>
        <v>1.1979854186615575</v>
      </c>
      <c r="F78" s="17">
        <f t="shared" si="9"/>
        <v>-0.14716384906956903</v>
      </c>
      <c r="G78" s="17">
        <f t="shared" si="10"/>
        <v>2.2488069882535457</v>
      </c>
      <c r="H78" s="17">
        <f t="shared" si="11"/>
        <v>0.10508215695919884</v>
      </c>
      <c r="I78">
        <f t="shared" si="12"/>
        <v>71</v>
      </c>
      <c r="J78" s="17">
        <f t="shared" si="13"/>
        <v>0.10508215695919884</v>
      </c>
      <c r="K78" s="17">
        <f t="shared" si="14"/>
        <v>1.0508215695919885</v>
      </c>
      <c r="L78" s="17">
        <f t="shared" si="15"/>
        <v>2.2488069882535457</v>
      </c>
    </row>
    <row r="79" spans="1:12" x14ac:dyDescent="0.25">
      <c r="A79">
        <v>72</v>
      </c>
      <c r="B79" t="str" cm="1">
        <f t="array" ref="B79">INDEX(Sheet1!$A:$A,267-$A79)</f>
        <v>L2U3H04</v>
      </c>
      <c r="C79" s="17" cm="1">
        <f t="array" ref="C79">INDEX(Sheet1!$K:$K,267-$A79)</f>
        <v>1.0525640005668604</v>
      </c>
      <c r="D79" s="17" cm="1">
        <f t="array" ref="D79">INDEX(Sheet1!$Q:$Q,267-$A79)</f>
        <v>0.22822145176821937</v>
      </c>
      <c r="E79" s="17">
        <f t="shared" si="8"/>
        <v>0.56693351496784283</v>
      </c>
      <c r="F79" s="17">
        <f t="shared" si="9"/>
        <v>0.48563048559901756</v>
      </c>
      <c r="G79" s="17">
        <f t="shared" si="10"/>
        <v>1.6194975155347033</v>
      </c>
      <c r="H79" s="17">
        <f t="shared" si="11"/>
        <v>0.48563048559901756</v>
      </c>
      <c r="I79">
        <f t="shared" si="12"/>
        <v>72</v>
      </c>
      <c r="J79" s="17">
        <f t="shared" si="13"/>
        <v>0.48563048559901756</v>
      </c>
      <c r="K79" s="17">
        <f t="shared" si="14"/>
        <v>1.0525640005668604</v>
      </c>
      <c r="L79" s="17">
        <f t="shared" si="15"/>
        <v>1.6194975155347033</v>
      </c>
    </row>
    <row r="80" spans="1:12" x14ac:dyDescent="0.25">
      <c r="A80">
        <v>73</v>
      </c>
      <c r="B80" t="str" cm="1">
        <f t="array" ref="B80">INDEX(Sheet1!$A:$A,267-$A80)</f>
        <v>L2U2H03</v>
      </c>
      <c r="C80" s="17" cm="1">
        <f t="array" ref="C80">INDEX(Sheet1!$K:$K,267-$A80)</f>
        <v>1.0853042255351326</v>
      </c>
      <c r="D80" s="17" cm="1">
        <f t="array" ref="D80">INDEX(Sheet1!$Q:$Q,267-$A80)</f>
        <v>0.45435609715538605</v>
      </c>
      <c r="E80" s="17">
        <f t="shared" si="8"/>
        <v>1.1286831155073913</v>
      </c>
      <c r="F80" s="17">
        <f t="shared" si="9"/>
        <v>-4.3378889972258694E-2</v>
      </c>
      <c r="G80" s="17">
        <f t="shared" si="10"/>
        <v>2.2139873410425239</v>
      </c>
      <c r="H80" s="17">
        <f t="shared" si="11"/>
        <v>0.10853042255351326</v>
      </c>
      <c r="I80">
        <f t="shared" si="12"/>
        <v>73</v>
      </c>
      <c r="J80" s="17">
        <f t="shared" si="13"/>
        <v>0.10853042255351326</v>
      </c>
      <c r="K80" s="17">
        <f t="shared" si="14"/>
        <v>1.0853042255351326</v>
      </c>
      <c r="L80" s="17">
        <f t="shared" si="15"/>
        <v>2.2139873410425239</v>
      </c>
    </row>
    <row r="81" spans="1:12" x14ac:dyDescent="0.25">
      <c r="A81">
        <v>74</v>
      </c>
      <c r="B81" t="str" cm="1">
        <f t="array" ref="B81">INDEX(Sheet1!$A:$A,267-$A81)</f>
        <v>L2U1H02</v>
      </c>
      <c r="C81" s="17" cm="1">
        <f t="array" ref="C81">INDEX(Sheet1!$K:$K,267-$A81)</f>
        <v>1.0902416799620789</v>
      </c>
      <c r="D81" s="17" cm="1">
        <f t="array" ref="D81">INDEX(Sheet1!$Q:$Q,267-$A81)</f>
        <v>0.28305614599302109</v>
      </c>
      <c r="E81" s="17">
        <f t="shared" si="8"/>
        <v>0.70315044680397076</v>
      </c>
      <c r="F81" s="17">
        <f t="shared" si="9"/>
        <v>0.38709123315810812</v>
      </c>
      <c r="G81" s="17">
        <f t="shared" si="10"/>
        <v>1.7933921267660495</v>
      </c>
      <c r="H81" s="17">
        <f t="shared" si="11"/>
        <v>0.38709123315810812</v>
      </c>
      <c r="I81">
        <f t="shared" si="12"/>
        <v>74</v>
      </c>
      <c r="J81" s="17">
        <f t="shared" si="13"/>
        <v>0.38709123315810812</v>
      </c>
      <c r="K81" s="17">
        <f t="shared" si="14"/>
        <v>1.0902416799620789</v>
      </c>
      <c r="L81" s="17">
        <f t="shared" si="15"/>
        <v>1.7933921267660495</v>
      </c>
    </row>
    <row r="82" spans="1:12" x14ac:dyDescent="0.25">
      <c r="A82">
        <v>75</v>
      </c>
      <c r="B82" t="str" cm="1">
        <f t="array" ref="B82">INDEX(Sheet1!$A:$A,267-$A82)</f>
        <v>L2U8H12</v>
      </c>
      <c r="C82" s="17" cm="1">
        <f t="array" ref="C82">INDEX(Sheet1!$K:$K,267-$A82)</f>
        <v>1.0949799299592791</v>
      </c>
      <c r="D82" s="17" cm="1">
        <f t="array" ref="D82">INDEX(Sheet1!$Q:$Q,267-$A82)</f>
        <v>9.0294328572212409E-2</v>
      </c>
      <c r="E82" s="17">
        <f t="shared" si="8"/>
        <v>0.22430354676340819</v>
      </c>
      <c r="F82" s="17">
        <f t="shared" si="9"/>
        <v>0.87067638319587082</v>
      </c>
      <c r="G82" s="17">
        <f t="shared" si="10"/>
        <v>1.3192834767226873</v>
      </c>
      <c r="H82" s="17">
        <f t="shared" si="11"/>
        <v>0.87067638319587082</v>
      </c>
      <c r="I82">
        <f t="shared" si="12"/>
        <v>75</v>
      </c>
      <c r="J82" s="17">
        <f t="shared" si="13"/>
        <v>0.87067638319587082</v>
      </c>
      <c r="K82" s="17">
        <f t="shared" si="14"/>
        <v>1.0949799299592791</v>
      </c>
      <c r="L82" s="17">
        <f t="shared" si="15"/>
        <v>1.3192834767226873</v>
      </c>
    </row>
    <row r="83" spans="1:12" x14ac:dyDescent="0.25">
      <c r="A83">
        <v>76</v>
      </c>
      <c r="B83" t="str" cm="1">
        <f t="array" ref="B83">INDEX(Sheet1!$A:$A,267-$A83)</f>
        <v>L2U2H01</v>
      </c>
      <c r="C83" s="17" cm="1">
        <f t="array" ref="C83">INDEX(Sheet1!$K:$K,267-$A83)</f>
        <v>1.0950173931383276</v>
      </c>
      <c r="D83" s="17" cm="1">
        <f t="array" ref="D83">INDEX(Sheet1!$Q:$Q,267-$A83)</f>
        <v>0.60329459505544925</v>
      </c>
      <c r="E83" s="17">
        <f t="shared" si="8"/>
        <v>1.4986668548723856</v>
      </c>
      <c r="F83" s="17">
        <f t="shared" si="9"/>
        <v>-0.40364946173405802</v>
      </c>
      <c r="G83" s="17">
        <f t="shared" si="10"/>
        <v>2.593684248010713</v>
      </c>
      <c r="H83" s="17">
        <f t="shared" si="11"/>
        <v>0.10950173931383275</v>
      </c>
      <c r="I83">
        <f t="shared" si="12"/>
        <v>76</v>
      </c>
      <c r="J83" s="17">
        <f t="shared" si="13"/>
        <v>0.10950173931383275</v>
      </c>
      <c r="K83" s="17">
        <f t="shared" si="14"/>
        <v>1.0950173931383276</v>
      </c>
      <c r="L83" s="17">
        <f t="shared" si="15"/>
        <v>2.593684248010713</v>
      </c>
    </row>
    <row r="84" spans="1:12" x14ac:dyDescent="0.25">
      <c r="A84">
        <v>77</v>
      </c>
      <c r="B84" t="str" cm="1">
        <f t="array" ref="B84">INDEX(Sheet1!$A:$A,267-$A84)</f>
        <v>L1U3H10</v>
      </c>
      <c r="C84" s="17" cm="1">
        <f t="array" ref="C84">INDEX(Sheet1!$K:$K,267-$A84)</f>
        <v>1.1163018690774322</v>
      </c>
      <c r="D84" s="17" cm="1">
        <f t="array" ref="D84">INDEX(Sheet1!$Q:$Q,267-$A84)</f>
        <v>0.19331998448650833</v>
      </c>
      <c r="E84" s="17">
        <f t="shared" si="8"/>
        <v>0.4802334638979241</v>
      </c>
      <c r="F84" s="17">
        <f t="shared" si="9"/>
        <v>0.63606840517950813</v>
      </c>
      <c r="G84" s="17">
        <f t="shared" si="10"/>
        <v>1.5965353329753564</v>
      </c>
      <c r="H84" s="17">
        <f t="shared" si="11"/>
        <v>0.63606840517950813</v>
      </c>
      <c r="I84">
        <f t="shared" si="12"/>
        <v>77</v>
      </c>
      <c r="J84" s="17">
        <f t="shared" si="13"/>
        <v>0.63606840517950813</v>
      </c>
      <c r="K84" s="17">
        <f t="shared" si="14"/>
        <v>1.1163018690774322</v>
      </c>
      <c r="L84" s="17">
        <f t="shared" si="15"/>
        <v>1.5965353329753564</v>
      </c>
    </row>
    <row r="85" spans="1:12" x14ac:dyDescent="0.25">
      <c r="A85">
        <v>78</v>
      </c>
      <c r="B85" t="str" cm="1">
        <f t="array" ref="B85">INDEX(Sheet1!$A:$A,267-$A85)</f>
        <v>L2U8H10</v>
      </c>
      <c r="C85" s="17" cm="1">
        <f t="array" ref="C85">INDEX(Sheet1!$K:$K,267-$A85)</f>
        <v>1.1170503102029139</v>
      </c>
      <c r="D85" s="17" cm="1">
        <f t="array" ref="D85">INDEX(Sheet1!$Q:$Q,267-$A85)</f>
        <v>0.26781799614697577</v>
      </c>
      <c r="E85" s="17">
        <f t="shared" si="8"/>
        <v>0.66529678411410709</v>
      </c>
      <c r="F85" s="17">
        <f t="shared" si="9"/>
        <v>0.45175352608880681</v>
      </c>
      <c r="G85" s="17">
        <f t="shared" si="10"/>
        <v>1.782347094317021</v>
      </c>
      <c r="H85" s="17">
        <f t="shared" si="11"/>
        <v>0.45175352608880681</v>
      </c>
      <c r="I85">
        <f t="shared" si="12"/>
        <v>78</v>
      </c>
      <c r="J85" s="17">
        <f t="shared" si="13"/>
        <v>0.45175352608880681</v>
      </c>
      <c r="K85" s="17">
        <f t="shared" si="14"/>
        <v>1.1170503102029139</v>
      </c>
      <c r="L85" s="17">
        <f t="shared" si="15"/>
        <v>1.782347094317021</v>
      </c>
    </row>
    <row r="86" spans="1:12" x14ac:dyDescent="0.25">
      <c r="A86">
        <v>79</v>
      </c>
      <c r="B86" t="str" cm="1">
        <f t="array" ref="B86">INDEX(Sheet1!$A:$A,267-$A86)</f>
        <v>L1U3H12</v>
      </c>
      <c r="C86" s="17" cm="1">
        <f t="array" ref="C86">INDEX(Sheet1!$K:$K,267-$A86)</f>
        <v>1.1516407121734802</v>
      </c>
      <c r="D86" s="17" cm="1">
        <f t="array" ref="D86">INDEX(Sheet1!$Q:$Q,267-$A86)</f>
        <v>9.7862705463386587E-2</v>
      </c>
      <c r="E86" s="17">
        <f t="shared" si="8"/>
        <v>0.24310443721551367</v>
      </c>
      <c r="F86" s="17">
        <f t="shared" si="9"/>
        <v>0.90853627495796652</v>
      </c>
      <c r="G86" s="17">
        <f t="shared" si="10"/>
        <v>1.394745149388994</v>
      </c>
      <c r="H86" s="17">
        <f t="shared" si="11"/>
        <v>0.90853627495796652</v>
      </c>
      <c r="I86">
        <f t="shared" si="12"/>
        <v>79</v>
      </c>
      <c r="J86" s="17">
        <f t="shared" si="13"/>
        <v>0.90853627495796652</v>
      </c>
      <c r="K86" s="17">
        <f t="shared" si="14"/>
        <v>1.1516407121734802</v>
      </c>
      <c r="L86" s="17">
        <f t="shared" si="15"/>
        <v>1.394745149388994</v>
      </c>
    </row>
    <row r="87" spans="1:12" x14ac:dyDescent="0.25">
      <c r="A87">
        <v>80</v>
      </c>
      <c r="B87" t="str" cm="1">
        <f t="array" ref="B87">INDEX(Sheet1!$A:$A,267-$A87)</f>
        <v>L2U6H03</v>
      </c>
      <c r="C87" s="17" cm="1">
        <f t="array" ref="C87">INDEX(Sheet1!$K:$K,267-$A87)</f>
        <v>1.1602857488998506</v>
      </c>
      <c r="D87" s="17" cm="1">
        <f t="array" ref="D87">INDEX(Sheet1!$Q:$Q,267-$A87)</f>
        <v>0.21466208180079108</v>
      </c>
      <c r="E87" s="17">
        <f t="shared" si="8"/>
        <v>0.53325017268417929</v>
      </c>
      <c r="F87" s="17">
        <f t="shared" si="9"/>
        <v>0.6270355762156713</v>
      </c>
      <c r="G87" s="17">
        <f t="shared" si="10"/>
        <v>1.6935359215840298</v>
      </c>
      <c r="H87" s="17">
        <f t="shared" si="11"/>
        <v>0.6270355762156713</v>
      </c>
      <c r="I87">
        <f t="shared" si="12"/>
        <v>80</v>
      </c>
      <c r="J87" s="17">
        <f t="shared" si="13"/>
        <v>0.6270355762156713</v>
      </c>
      <c r="K87" s="17">
        <f t="shared" si="14"/>
        <v>1.1602857488998506</v>
      </c>
      <c r="L87" s="17">
        <f t="shared" si="15"/>
        <v>1.6935359215840298</v>
      </c>
    </row>
    <row r="88" spans="1:12" x14ac:dyDescent="0.25">
      <c r="A88">
        <v>81</v>
      </c>
      <c r="B88" t="str" cm="1">
        <f t="array" ref="B88">INDEX(Sheet1!$A:$A,267-$A88)</f>
        <v>L2U5H06</v>
      </c>
      <c r="C88" s="17" cm="1">
        <f t="array" ref="C88">INDEX(Sheet1!$K:$K,267-$A88)</f>
        <v>1.1718650552400349</v>
      </c>
      <c r="D88" s="17" cm="1">
        <f t="array" ref="D88">INDEX(Sheet1!$Q:$Q,267-$A88)</f>
        <v>2.2037451162251136E-2</v>
      </c>
      <c r="E88" s="17">
        <f t="shared" si="8"/>
        <v>5.4744063503004189E-2</v>
      </c>
      <c r="F88" s="17">
        <f t="shared" si="9"/>
        <v>1.1171209917370308</v>
      </c>
      <c r="G88" s="17">
        <f t="shared" si="10"/>
        <v>1.226609118743039</v>
      </c>
      <c r="H88" s="17">
        <f t="shared" si="11"/>
        <v>1.1171209917370308</v>
      </c>
      <c r="I88">
        <f t="shared" si="12"/>
        <v>81</v>
      </c>
      <c r="J88" s="17">
        <f t="shared" si="13"/>
        <v>1.1171209917370308</v>
      </c>
      <c r="K88" s="17">
        <f t="shared" si="14"/>
        <v>1.1718650552400349</v>
      </c>
      <c r="L88" s="17">
        <f t="shared" si="15"/>
        <v>1.226609118743039</v>
      </c>
    </row>
    <row r="89" spans="1:12" x14ac:dyDescent="0.25">
      <c r="A89">
        <v>82</v>
      </c>
      <c r="B89" t="str" cm="1">
        <f t="array" ref="B89">INDEX(Sheet1!$A:$A,267-$A89)</f>
        <v>L2U4H08</v>
      </c>
      <c r="C89" s="17" cm="1">
        <f t="array" ref="C89">INDEX(Sheet1!$K:$K,267-$A89)</f>
        <v>1.1795640946050538</v>
      </c>
      <c r="D89" s="17" cm="1">
        <f t="array" ref="D89">INDEX(Sheet1!$Q:$Q,267-$A89)</f>
        <v>0.52804295353858366</v>
      </c>
      <c r="E89" s="17">
        <f t="shared" si="8"/>
        <v>1.3117314143092231</v>
      </c>
      <c r="F89" s="17">
        <f t="shared" si="9"/>
        <v>-0.13216731970416928</v>
      </c>
      <c r="G89" s="17">
        <f t="shared" si="10"/>
        <v>2.491295508914277</v>
      </c>
      <c r="H89" s="17">
        <f t="shared" si="11"/>
        <v>0.11795640946050538</v>
      </c>
      <c r="I89">
        <f t="shared" si="12"/>
        <v>82</v>
      </c>
      <c r="J89" s="17">
        <f t="shared" si="13"/>
        <v>0.11795640946050538</v>
      </c>
      <c r="K89" s="17">
        <f t="shared" si="14"/>
        <v>1.1795640946050538</v>
      </c>
      <c r="L89" s="17">
        <f t="shared" si="15"/>
        <v>2.491295508914277</v>
      </c>
    </row>
    <row r="90" spans="1:12" x14ac:dyDescent="0.25">
      <c r="A90">
        <v>83</v>
      </c>
      <c r="B90" t="str" cm="1">
        <f t="array" ref="B90">INDEX(Sheet1!$A:$A,267-$A90)</f>
        <v>L2U2H05</v>
      </c>
      <c r="C90" s="17" cm="1">
        <f t="array" ref="C90">INDEX(Sheet1!$K:$K,267-$A90)</f>
        <v>1.1805612341396519</v>
      </c>
      <c r="D90" s="17" cm="1">
        <f t="array" ref="D90">INDEX(Sheet1!$Q:$Q,267-$A90)</f>
        <v>0.50047591516383949</v>
      </c>
      <c r="E90" s="17">
        <f t="shared" si="8"/>
        <v>1.2432510946812527</v>
      </c>
      <c r="F90" s="17">
        <f t="shared" si="9"/>
        <v>-6.2689860541600861E-2</v>
      </c>
      <c r="G90" s="17">
        <f t="shared" si="10"/>
        <v>2.4238123288209046</v>
      </c>
      <c r="H90" s="17">
        <f t="shared" si="11"/>
        <v>0.11805612341396518</v>
      </c>
      <c r="I90">
        <f t="shared" si="12"/>
        <v>83</v>
      </c>
      <c r="J90" s="17">
        <f t="shared" si="13"/>
        <v>0.11805612341396518</v>
      </c>
      <c r="K90" s="17">
        <f t="shared" si="14"/>
        <v>1.1805612341396519</v>
      </c>
      <c r="L90" s="17">
        <f t="shared" si="15"/>
        <v>2.4238123288209046</v>
      </c>
    </row>
    <row r="91" spans="1:12" x14ac:dyDescent="0.25">
      <c r="A91">
        <v>84</v>
      </c>
      <c r="B91" t="str" cm="1">
        <f t="array" ref="B91">INDEX(Sheet1!$A:$A,267-$A91)</f>
        <v>L1U3H09</v>
      </c>
      <c r="C91" s="17" cm="1">
        <f t="array" ref="C91">INDEX(Sheet1!$K:$K,267-$A91)</f>
        <v>1.2102793793468489</v>
      </c>
      <c r="D91" s="17" cm="1">
        <f t="array" ref="D91">INDEX(Sheet1!$Q:$Q,267-$A91)</f>
        <v>0.27812206822646729</v>
      </c>
      <c r="E91" s="17">
        <f t="shared" si="8"/>
        <v>0.69089351815136568</v>
      </c>
      <c r="F91" s="17">
        <f t="shared" si="9"/>
        <v>0.51938586119548324</v>
      </c>
      <c r="G91" s="17">
        <f t="shared" si="10"/>
        <v>1.9011728974982147</v>
      </c>
      <c r="H91" s="17">
        <f t="shared" si="11"/>
        <v>0.51938586119548324</v>
      </c>
      <c r="I91">
        <f t="shared" si="12"/>
        <v>84</v>
      </c>
      <c r="J91" s="17">
        <f t="shared" si="13"/>
        <v>0.51938586119548324</v>
      </c>
      <c r="K91" s="17">
        <f t="shared" si="14"/>
        <v>1.2102793793468489</v>
      </c>
      <c r="L91" s="17">
        <f t="shared" si="15"/>
        <v>1.9011728974982147</v>
      </c>
    </row>
    <row r="92" spans="1:12" x14ac:dyDescent="0.25">
      <c r="A92">
        <v>85</v>
      </c>
      <c r="B92" t="str" cm="1">
        <f t="array" ref="B92">INDEX(Sheet1!$A:$A,267-$A92)</f>
        <v>L1U7H08</v>
      </c>
      <c r="C92" s="17" cm="1">
        <f t="array" ref="C92">INDEX(Sheet1!$K:$K,267-$A92)</f>
        <v>1.2185805697830936</v>
      </c>
      <c r="D92" s="17" cm="1">
        <f t="array" ref="D92">INDEX(Sheet1!$Q:$Q,267-$A92)</f>
        <v>0.84400922753273722</v>
      </c>
      <c r="E92" s="17">
        <f t="shared" si="8"/>
        <v>2.0966351511793375</v>
      </c>
      <c r="F92" s="17">
        <f t="shared" si="9"/>
        <v>-0.87805458139624393</v>
      </c>
      <c r="G92" s="17">
        <f t="shared" si="10"/>
        <v>3.3152157209624313</v>
      </c>
      <c r="H92" s="17">
        <f t="shared" si="11"/>
        <v>0.12185805697830936</v>
      </c>
      <c r="I92">
        <f t="shared" si="12"/>
        <v>85</v>
      </c>
      <c r="J92" s="17">
        <f t="shared" si="13"/>
        <v>0.12185805697830936</v>
      </c>
      <c r="K92" s="17">
        <f t="shared" si="14"/>
        <v>1.2185805697830936</v>
      </c>
      <c r="L92" s="17">
        <f t="shared" si="15"/>
        <v>3.3152157209624313</v>
      </c>
    </row>
    <row r="93" spans="1:12" x14ac:dyDescent="0.25">
      <c r="A93">
        <v>86</v>
      </c>
      <c r="B93" t="str" cm="1">
        <f t="array" ref="B93">INDEX(Sheet1!$A:$A,267-$A93)</f>
        <v>L2U7H02</v>
      </c>
      <c r="C93" s="17" cm="1">
        <f t="array" ref="C93">INDEX(Sheet1!$K:$K,267-$A93)</f>
        <v>1.2331863790353088</v>
      </c>
      <c r="D93" s="17" cm="1">
        <f t="array" ref="D93">INDEX(Sheet1!$Q:$Q,267-$A93)</f>
        <v>0.47833186937436234</v>
      </c>
      <c r="E93" s="17">
        <f t="shared" si="8"/>
        <v>1.1882422354448863</v>
      </c>
      <c r="F93" s="17">
        <f t="shared" si="9"/>
        <v>4.4944143590422536E-2</v>
      </c>
      <c r="G93" s="17">
        <f t="shared" si="10"/>
        <v>2.4214286144801953</v>
      </c>
      <c r="H93" s="17">
        <f t="shared" si="11"/>
        <v>0.12331863790353088</v>
      </c>
      <c r="I93">
        <f t="shared" si="12"/>
        <v>86</v>
      </c>
      <c r="J93" s="17">
        <f t="shared" si="13"/>
        <v>0.12331863790353088</v>
      </c>
      <c r="K93" s="17">
        <f t="shared" si="14"/>
        <v>1.2331863790353088</v>
      </c>
      <c r="L93" s="17">
        <f t="shared" si="15"/>
        <v>2.4214286144801953</v>
      </c>
    </row>
    <row r="94" spans="1:12" x14ac:dyDescent="0.25">
      <c r="A94">
        <v>87</v>
      </c>
      <c r="B94" t="str" cm="1">
        <f t="array" ref="B94">INDEX(Sheet1!$A:$A,267-$A94)</f>
        <v>L2U3H11</v>
      </c>
      <c r="C94" s="17" cm="1">
        <f t="array" ref="C94">INDEX(Sheet1!$K:$K,267-$A94)</f>
        <v>1.2398625406444335</v>
      </c>
      <c r="D94" s="17" cm="1">
        <f t="array" ref="D94">INDEX(Sheet1!$Q:$Q,267-$A94)</f>
        <v>0.45341777993579724</v>
      </c>
      <c r="E94" s="17">
        <f t="shared" si="8"/>
        <v>1.126352206316626</v>
      </c>
      <c r="F94" s="17">
        <f t="shared" si="9"/>
        <v>0.11351033432780744</v>
      </c>
      <c r="G94" s="17">
        <f t="shared" si="10"/>
        <v>2.3662147469610595</v>
      </c>
      <c r="H94" s="17">
        <f t="shared" si="11"/>
        <v>0.12398625406444334</v>
      </c>
      <c r="I94">
        <f t="shared" si="12"/>
        <v>87</v>
      </c>
      <c r="J94" s="17">
        <f t="shared" si="13"/>
        <v>0.12398625406444334</v>
      </c>
      <c r="K94" s="17">
        <f t="shared" si="14"/>
        <v>1.2398625406444335</v>
      </c>
      <c r="L94" s="17">
        <f t="shared" si="15"/>
        <v>2.3662147469610595</v>
      </c>
    </row>
    <row r="95" spans="1:12" x14ac:dyDescent="0.25">
      <c r="A95">
        <v>88</v>
      </c>
      <c r="B95" t="str" cm="1">
        <f t="array" ref="B95">INDEX(Sheet1!$A:$A,267-$A95)</f>
        <v>L2U4H04</v>
      </c>
      <c r="C95" s="17" cm="1">
        <f t="array" ref="C95">INDEX(Sheet1!$K:$K,267-$A95)</f>
        <v>1.2513819218316535</v>
      </c>
      <c r="D95" s="17" cm="1">
        <f t="array" ref="D95">INDEX(Sheet1!$Q:$Q,267-$A95)</f>
        <v>0.57668563318796318</v>
      </c>
      <c r="E95" s="17">
        <f t="shared" si="8"/>
        <v>1.432566529226837</v>
      </c>
      <c r="F95" s="17">
        <f t="shared" si="9"/>
        <v>-0.18118460739518349</v>
      </c>
      <c r="G95" s="17">
        <f t="shared" si="10"/>
        <v>2.6839484510584906</v>
      </c>
      <c r="H95" s="17">
        <f t="shared" si="11"/>
        <v>0.12513819218316535</v>
      </c>
      <c r="I95">
        <f t="shared" si="12"/>
        <v>88</v>
      </c>
      <c r="J95" s="17">
        <f t="shared" si="13"/>
        <v>0.12513819218316535</v>
      </c>
      <c r="K95" s="17">
        <f t="shared" si="14"/>
        <v>1.2513819218316535</v>
      </c>
      <c r="L95" s="17">
        <f t="shared" si="15"/>
        <v>2.6839484510584906</v>
      </c>
    </row>
    <row r="96" spans="1:12" x14ac:dyDescent="0.25">
      <c r="A96">
        <v>89</v>
      </c>
      <c r="B96" t="str" cm="1">
        <f t="array" ref="B96">INDEX(Sheet1!$A:$A,267-$A96)</f>
        <v>L1U8H03</v>
      </c>
      <c r="C96" s="17" cm="1">
        <f t="array" ref="C96">INDEX(Sheet1!$K:$K,267-$A96)</f>
        <v>1.256727908695795</v>
      </c>
      <c r="D96" s="17" cm="1">
        <f t="array" ref="D96">INDEX(Sheet1!$Q:$Q,267-$A96)</f>
        <v>0.58264018288457975</v>
      </c>
      <c r="E96" s="17">
        <f t="shared" si="8"/>
        <v>1.4473584506846939</v>
      </c>
      <c r="F96" s="17">
        <f t="shared" si="9"/>
        <v>-0.19063054198889895</v>
      </c>
      <c r="G96" s="17">
        <f t="shared" si="10"/>
        <v>2.7040863593804891</v>
      </c>
      <c r="H96" s="17">
        <f t="shared" si="11"/>
        <v>0.1256727908695795</v>
      </c>
      <c r="I96">
        <f t="shared" si="12"/>
        <v>89</v>
      </c>
      <c r="J96" s="17">
        <f t="shared" si="13"/>
        <v>0.1256727908695795</v>
      </c>
      <c r="K96" s="17">
        <f t="shared" si="14"/>
        <v>1.256727908695795</v>
      </c>
      <c r="L96" s="17">
        <f t="shared" si="15"/>
        <v>2.7040863593804891</v>
      </c>
    </row>
    <row r="97" spans="1:12" x14ac:dyDescent="0.25">
      <c r="A97">
        <v>90</v>
      </c>
      <c r="B97" t="str" cm="1">
        <f t="array" ref="B97">INDEX(Sheet1!$A:$A,267-$A97)</f>
        <v>L2U2H02</v>
      </c>
      <c r="C97" s="17" cm="1">
        <f t="array" ref="C97">INDEX(Sheet1!$K:$K,267-$A97)</f>
        <v>1.2587695533719263</v>
      </c>
      <c r="D97" s="17" cm="1">
        <f t="array" ref="D97">INDEX(Sheet1!$Q:$Q,267-$A97)</f>
        <v>0.62643239970933096</v>
      </c>
      <c r="E97" s="17">
        <f t="shared" si="8"/>
        <v>1.5561443479802055</v>
      </c>
      <c r="F97" s="17">
        <f t="shared" si="9"/>
        <v>-0.2973747946082792</v>
      </c>
      <c r="G97" s="17">
        <f t="shared" si="10"/>
        <v>2.8149139013521318</v>
      </c>
      <c r="H97" s="17">
        <f t="shared" si="11"/>
        <v>0.12587695533719262</v>
      </c>
      <c r="I97">
        <f t="shared" si="12"/>
        <v>90</v>
      </c>
      <c r="J97" s="17">
        <f t="shared" si="13"/>
        <v>0.12587695533719262</v>
      </c>
      <c r="K97" s="17">
        <f t="shared" si="14"/>
        <v>1.2587695533719263</v>
      </c>
      <c r="L97" s="17">
        <f t="shared" si="15"/>
        <v>2.8149139013521318</v>
      </c>
    </row>
    <row r="98" spans="1:12" x14ac:dyDescent="0.25">
      <c r="A98">
        <v>91</v>
      </c>
      <c r="B98" t="str" cm="1">
        <f t="array" ref="B98">INDEX(Sheet1!$A:$A,267-$A98)</f>
        <v>L1U2H12</v>
      </c>
      <c r="C98" s="17" cm="1">
        <f t="array" ref="C98">INDEX(Sheet1!$K:$K,267-$A98)</f>
        <v>1.2911523590108116</v>
      </c>
      <c r="D98" s="17" cm="1">
        <f t="array" ref="D98">INDEX(Sheet1!$Q:$Q,267-$A98)</f>
        <v>0.17532375997817248</v>
      </c>
      <c r="E98" s="17">
        <f t="shared" si="8"/>
        <v>0.43552836392764149</v>
      </c>
      <c r="F98" s="17">
        <f t="shared" si="9"/>
        <v>0.85562399508317011</v>
      </c>
      <c r="G98" s="17">
        <f t="shared" si="10"/>
        <v>1.7266807229384531</v>
      </c>
      <c r="H98" s="17">
        <f t="shared" si="11"/>
        <v>0.85562399508317011</v>
      </c>
      <c r="I98">
        <f t="shared" si="12"/>
        <v>91</v>
      </c>
      <c r="J98" s="17">
        <f t="shared" si="13"/>
        <v>0.85562399508317011</v>
      </c>
      <c r="K98" s="17">
        <f t="shared" si="14"/>
        <v>1.2911523590108116</v>
      </c>
      <c r="L98" s="17">
        <f t="shared" si="15"/>
        <v>1.7266807229384531</v>
      </c>
    </row>
    <row r="99" spans="1:12" x14ac:dyDescent="0.25">
      <c r="A99">
        <v>92</v>
      </c>
      <c r="B99" t="str" cm="1">
        <f t="array" ref="B99">INDEX(Sheet1!$A:$A,267-$A99)</f>
        <v>L2U8H07</v>
      </c>
      <c r="C99" s="17" cm="1">
        <f t="array" ref="C99">INDEX(Sheet1!$K:$K,267-$A99)</f>
        <v>1.2960503986497927</v>
      </c>
      <c r="D99" s="17" cm="1">
        <f t="array" ref="D99">INDEX(Sheet1!$Q:$Q,267-$A99)</f>
        <v>0.43203022480684783</v>
      </c>
      <c r="E99" s="17">
        <f t="shared" si="8"/>
        <v>1.0732225740586636</v>
      </c>
      <c r="F99" s="17">
        <f t="shared" si="9"/>
        <v>0.22282782459112904</v>
      </c>
      <c r="G99" s="17">
        <f t="shared" si="10"/>
        <v>2.3692729727084565</v>
      </c>
      <c r="H99" s="17">
        <f t="shared" si="11"/>
        <v>0.22282782459112904</v>
      </c>
      <c r="I99">
        <f t="shared" si="12"/>
        <v>92</v>
      </c>
      <c r="J99" s="17">
        <f t="shared" si="13"/>
        <v>0.22282782459112904</v>
      </c>
      <c r="K99" s="17">
        <f t="shared" si="14"/>
        <v>1.2960503986497927</v>
      </c>
      <c r="L99" s="17">
        <f t="shared" si="15"/>
        <v>2.3692729727084565</v>
      </c>
    </row>
    <row r="100" spans="1:12" x14ac:dyDescent="0.25">
      <c r="A100">
        <v>93</v>
      </c>
      <c r="B100" t="str" cm="1">
        <f t="array" ref="B100">INDEX(Sheet1!$A:$A,267-$A100)</f>
        <v>L2U7H10</v>
      </c>
      <c r="C100" s="17" cm="1">
        <f t="array" ref="C100">INDEX(Sheet1!$K:$K,267-$A100)</f>
        <v>1.3002174449358832</v>
      </c>
      <c r="D100" s="17" cm="1">
        <f t="array" ref="D100">INDEX(Sheet1!$Q:$Q,267-$A100)</f>
        <v>0.56687662700550034</v>
      </c>
      <c r="E100" s="17">
        <f t="shared" si="8"/>
        <v>1.4081996070541891</v>
      </c>
      <c r="F100" s="17">
        <f t="shared" si="9"/>
        <v>-0.10798216211830591</v>
      </c>
      <c r="G100" s="17">
        <f t="shared" si="10"/>
        <v>2.7084170519900725</v>
      </c>
      <c r="H100" s="17">
        <f t="shared" si="11"/>
        <v>0.13002174449358833</v>
      </c>
      <c r="I100">
        <f t="shared" si="12"/>
        <v>93</v>
      </c>
      <c r="J100" s="17">
        <f t="shared" si="13"/>
        <v>0.13002174449358833</v>
      </c>
      <c r="K100" s="17">
        <f t="shared" si="14"/>
        <v>1.3002174449358832</v>
      </c>
      <c r="L100" s="17">
        <f t="shared" si="15"/>
        <v>2.7084170519900725</v>
      </c>
    </row>
    <row r="101" spans="1:12" x14ac:dyDescent="0.25">
      <c r="A101">
        <v>94</v>
      </c>
      <c r="B101" t="str" cm="1">
        <f t="array" ref="B101">INDEX(Sheet1!$A:$A,267-$A101)</f>
        <v>L2U3H06</v>
      </c>
      <c r="C101" s="17" cm="1">
        <f t="array" ref="C101">INDEX(Sheet1!$K:$K,267-$A101)</f>
        <v>1.3075492490054699</v>
      </c>
      <c r="D101" s="17" cm="1">
        <f t="array" ref="D101">INDEX(Sheet1!$Q:$Q,267-$A101)</f>
        <v>0.52866397229982176</v>
      </c>
      <c r="E101" s="17">
        <f t="shared" si="8"/>
        <v>1.3132741104337191</v>
      </c>
      <c r="F101" s="17">
        <f t="shared" si="9"/>
        <v>-5.7248614282492394E-3</v>
      </c>
      <c r="G101" s="17">
        <f t="shared" si="10"/>
        <v>2.6208233594391892</v>
      </c>
      <c r="H101" s="17">
        <f t="shared" si="11"/>
        <v>0.13075492490054699</v>
      </c>
      <c r="I101">
        <f t="shared" si="12"/>
        <v>94</v>
      </c>
      <c r="J101" s="17">
        <f t="shared" si="13"/>
        <v>0.13075492490054699</v>
      </c>
      <c r="K101" s="17">
        <f t="shared" si="14"/>
        <v>1.3075492490054699</v>
      </c>
      <c r="L101" s="17">
        <f t="shared" si="15"/>
        <v>2.6208233594391892</v>
      </c>
    </row>
    <row r="102" spans="1:12" x14ac:dyDescent="0.25">
      <c r="A102">
        <v>95</v>
      </c>
      <c r="B102" t="str" cm="1">
        <f t="array" ref="B102">INDEX(Sheet1!$A:$A,267-$A102)</f>
        <v>L2U4H11</v>
      </c>
      <c r="C102" s="17" cm="1">
        <f t="array" ref="C102">INDEX(Sheet1!$K:$K,267-$A102)</f>
        <v>1.3351083791195295</v>
      </c>
      <c r="D102" s="17" cm="1">
        <f t="array" ref="D102">INDEX(Sheet1!$Q:$Q,267-$A102)</f>
        <v>0.61248116616304116</v>
      </c>
      <c r="E102" s="17">
        <f t="shared" si="8"/>
        <v>1.5214875626024307</v>
      </c>
      <c r="F102" s="17">
        <f t="shared" si="9"/>
        <v>-0.18637918348290117</v>
      </c>
      <c r="G102" s="17">
        <f t="shared" si="10"/>
        <v>2.8565959417219604</v>
      </c>
      <c r="H102" s="17">
        <f t="shared" si="11"/>
        <v>0.13351083791195295</v>
      </c>
      <c r="I102">
        <f t="shared" si="12"/>
        <v>95</v>
      </c>
      <c r="J102" s="17">
        <f t="shared" si="13"/>
        <v>0.13351083791195295</v>
      </c>
      <c r="K102" s="17">
        <f t="shared" si="14"/>
        <v>1.3351083791195295</v>
      </c>
      <c r="L102" s="17">
        <f t="shared" si="15"/>
        <v>2.8565959417219604</v>
      </c>
    </row>
    <row r="103" spans="1:12" x14ac:dyDescent="0.25">
      <c r="A103">
        <v>96</v>
      </c>
      <c r="B103" t="str" cm="1">
        <f t="array" ref="B103">INDEX(Sheet1!$A:$A,267-$A103)</f>
        <v>L2U7H08</v>
      </c>
      <c r="C103" s="17" cm="1">
        <f t="array" ref="C103">INDEX(Sheet1!$K:$K,267-$A103)</f>
        <v>1.390968224921366</v>
      </c>
      <c r="D103" s="17" cm="1">
        <f t="array" ref="D103">INDEX(Sheet1!$Q:$Q,267-$A103)</f>
        <v>0.41809044856164879</v>
      </c>
      <c r="E103" s="17">
        <f t="shared" si="8"/>
        <v>1.0385942501946033</v>
      </c>
      <c r="F103" s="17">
        <f t="shared" si="9"/>
        <v>0.35237397472676268</v>
      </c>
      <c r="G103" s="17">
        <f t="shared" si="10"/>
        <v>2.4295624751159695</v>
      </c>
      <c r="H103" s="17">
        <f t="shared" si="11"/>
        <v>0.35237397472676268</v>
      </c>
      <c r="I103">
        <f t="shared" si="12"/>
        <v>96</v>
      </c>
      <c r="J103" s="17">
        <f t="shared" si="13"/>
        <v>0.35237397472676268</v>
      </c>
      <c r="K103" s="17">
        <f t="shared" si="14"/>
        <v>1.390968224921366</v>
      </c>
      <c r="L103" s="17">
        <f t="shared" si="15"/>
        <v>2.4295624751159695</v>
      </c>
    </row>
    <row r="104" spans="1:12" x14ac:dyDescent="0.25">
      <c r="A104">
        <v>97</v>
      </c>
      <c r="B104" t="str" cm="1">
        <f t="array" ref="B104">INDEX(Sheet1!$A:$A,267-$A104)</f>
        <v>L2U4H07</v>
      </c>
      <c r="C104" s="17" cm="1">
        <f t="array" ref="C104">INDEX(Sheet1!$K:$K,267-$A104)</f>
        <v>1.4107024752693347</v>
      </c>
      <c r="D104" s="17" cm="1">
        <f t="array" ref="D104">INDEX(Sheet1!$Q:$Q,267-$A104)</f>
        <v>0.44464841865394084</v>
      </c>
      <c r="E104" s="17">
        <f t="shared" si="8"/>
        <v>1.1045679052484034</v>
      </c>
      <c r="F104" s="17">
        <f t="shared" si="9"/>
        <v>0.30613457002093125</v>
      </c>
      <c r="G104" s="17">
        <f t="shared" si="10"/>
        <v>2.5152703805177383</v>
      </c>
      <c r="H104" s="17">
        <f t="shared" si="11"/>
        <v>0.30613457002093125</v>
      </c>
      <c r="I104">
        <f t="shared" si="12"/>
        <v>97</v>
      </c>
      <c r="J104" s="17">
        <f t="shared" si="13"/>
        <v>0.30613457002093125</v>
      </c>
      <c r="K104" s="17">
        <f t="shared" si="14"/>
        <v>1.4107024752693347</v>
      </c>
      <c r="L104" s="17">
        <f t="shared" si="15"/>
        <v>2.5152703805177383</v>
      </c>
    </row>
    <row r="105" spans="1:12" x14ac:dyDescent="0.25">
      <c r="A105">
        <v>98</v>
      </c>
      <c r="B105" t="str" cm="1">
        <f t="array" ref="B105">INDEX(Sheet1!$A:$A,267-$A105)</f>
        <v>L1U1H10</v>
      </c>
      <c r="C105" s="17" cm="1">
        <f t="array" ref="C105">INDEX(Sheet1!$K:$K,267-$A105)</f>
        <v>1.4572345906036535</v>
      </c>
      <c r="D105" s="17" cm="1">
        <f t="array" ref="D105">INDEX(Sheet1!$Q:$Q,267-$A105)</f>
        <v>0.12747528602452543</v>
      </c>
      <c r="E105" s="17">
        <f t="shared" si="8"/>
        <v>0.31666616532968345</v>
      </c>
      <c r="F105" s="17">
        <f t="shared" si="9"/>
        <v>1.1405684252739701</v>
      </c>
      <c r="G105" s="17">
        <f t="shared" si="10"/>
        <v>1.7739007559333368</v>
      </c>
      <c r="H105" s="17">
        <f t="shared" si="11"/>
        <v>1.1405684252739701</v>
      </c>
      <c r="I105">
        <f t="shared" si="12"/>
        <v>98</v>
      </c>
      <c r="J105" s="17">
        <f t="shared" si="13"/>
        <v>1.1405684252739701</v>
      </c>
      <c r="K105" s="17">
        <f t="shared" si="14"/>
        <v>1.4572345906036535</v>
      </c>
      <c r="L105" s="17">
        <f t="shared" si="15"/>
        <v>1.7739007559333368</v>
      </c>
    </row>
    <row r="106" spans="1:12" x14ac:dyDescent="0.25">
      <c r="A106">
        <v>99</v>
      </c>
      <c r="B106" t="str" cm="1">
        <f t="array" ref="B106">INDEX(Sheet1!$A:$A,267-$A106)</f>
        <v>L1U3H08</v>
      </c>
      <c r="C106" s="17" cm="1">
        <f t="array" ref="C106">INDEX(Sheet1!$K:$K,267-$A106)</f>
        <v>1.4689500846291945</v>
      </c>
      <c r="D106" s="17" cm="1">
        <f t="array" ref="D106">INDEX(Sheet1!$Q:$Q,267-$A106)</f>
        <v>0.17231897911976821</v>
      </c>
      <c r="E106" s="17">
        <f t="shared" si="8"/>
        <v>0.42806407448173395</v>
      </c>
      <c r="F106" s="17">
        <f t="shared" si="9"/>
        <v>1.0408860101474606</v>
      </c>
      <c r="G106" s="17">
        <f t="shared" si="10"/>
        <v>1.8970141591109284</v>
      </c>
      <c r="H106" s="17">
        <f t="shared" si="11"/>
        <v>1.0408860101474606</v>
      </c>
      <c r="I106">
        <f t="shared" si="12"/>
        <v>99</v>
      </c>
      <c r="J106" s="17">
        <f t="shared" si="13"/>
        <v>1.0408860101474606</v>
      </c>
      <c r="K106" s="17">
        <f t="shared" si="14"/>
        <v>1.4689500846291945</v>
      </c>
      <c r="L106" s="17">
        <f t="shared" si="15"/>
        <v>1.8970141591109284</v>
      </c>
    </row>
    <row r="107" spans="1:12" x14ac:dyDescent="0.25">
      <c r="A107">
        <v>100</v>
      </c>
      <c r="B107" t="str" cm="1">
        <f t="array" ref="B107">INDEX(Sheet1!$A:$A,267-$A107)</f>
        <v>L1U3H11</v>
      </c>
      <c r="C107" s="17" cm="1">
        <f t="array" ref="C107">INDEX(Sheet1!$K:$K,267-$A107)</f>
        <v>1.4979562715171491</v>
      </c>
      <c r="D107" s="17" cm="1">
        <f t="array" ref="D107">INDEX(Sheet1!$Q:$Q,267-$A107)</f>
        <v>1.2264405851302311E-2</v>
      </c>
      <c r="E107" s="17">
        <f t="shared" si="8"/>
        <v>3.046647308743148E-2</v>
      </c>
      <c r="F107" s="17">
        <f t="shared" si="9"/>
        <v>1.4674897984297175</v>
      </c>
      <c r="G107" s="17">
        <f t="shared" si="10"/>
        <v>1.5284227446045806</v>
      </c>
      <c r="H107" s="17">
        <f t="shared" si="11"/>
        <v>1.4674897984297175</v>
      </c>
      <c r="I107">
        <f t="shared" si="12"/>
        <v>100</v>
      </c>
      <c r="J107" s="17">
        <f t="shared" si="13"/>
        <v>1.4674897984297175</v>
      </c>
      <c r="K107" s="17">
        <f t="shared" si="14"/>
        <v>1.4979562715171491</v>
      </c>
      <c r="L107" s="17">
        <f t="shared" si="15"/>
        <v>1.5284227446045806</v>
      </c>
    </row>
    <row r="108" spans="1:12" x14ac:dyDescent="0.25">
      <c r="A108">
        <v>101</v>
      </c>
      <c r="B108" t="str" cm="1">
        <f t="array" ref="B108">INDEX(Sheet1!$A:$A,267-$A108)</f>
        <v>L1U3H06</v>
      </c>
      <c r="C108" s="17" cm="1">
        <f t="array" ref="C108">INDEX(Sheet1!$K:$K,267-$A108)</f>
        <v>1.5522803335990469</v>
      </c>
      <c r="D108" s="17" cm="1">
        <f t="array" ref="D108">INDEX(Sheet1!$Q:$Q,267-$A108)</f>
        <v>0.1712293580329558</v>
      </c>
      <c r="E108" s="17">
        <f t="shared" si="8"/>
        <v>0.4253573056484648</v>
      </c>
      <c r="F108" s="17">
        <f t="shared" si="9"/>
        <v>1.1269230279505822</v>
      </c>
      <c r="G108" s="17">
        <f t="shared" si="10"/>
        <v>1.9776376392475117</v>
      </c>
      <c r="H108" s="17">
        <f t="shared" si="11"/>
        <v>1.1269230279505822</v>
      </c>
      <c r="I108">
        <f t="shared" si="12"/>
        <v>101</v>
      </c>
      <c r="J108" s="17">
        <f t="shared" si="13"/>
        <v>1.1269230279505822</v>
      </c>
      <c r="K108" s="17">
        <f t="shared" si="14"/>
        <v>1.5522803335990469</v>
      </c>
      <c r="L108" s="17">
        <f t="shared" si="15"/>
        <v>1.9776376392475117</v>
      </c>
    </row>
    <row r="109" spans="1:12" x14ac:dyDescent="0.25">
      <c r="A109">
        <v>102</v>
      </c>
      <c r="B109" t="str" cm="1">
        <f t="array" ref="B109">INDEX(Sheet1!$A:$A,267-$A109)</f>
        <v>L2U2H04</v>
      </c>
      <c r="C109" s="17" cm="1">
        <f t="array" ref="C109">INDEX(Sheet1!$K:$K,267-$A109)</f>
        <v>1.5755959691867172</v>
      </c>
      <c r="D109" s="17" cm="1">
        <f t="array" ref="D109">INDEX(Sheet1!$Q:$Q,267-$A109)</f>
        <v>0.59649820623549255</v>
      </c>
      <c r="E109" s="17">
        <f t="shared" si="8"/>
        <v>1.481783689101013</v>
      </c>
      <c r="F109" s="17">
        <f t="shared" si="9"/>
        <v>9.3812280085704192E-2</v>
      </c>
      <c r="G109" s="17">
        <f t="shared" si="10"/>
        <v>3.0573796582877302</v>
      </c>
      <c r="H109" s="17">
        <f t="shared" si="11"/>
        <v>0.15755959691867172</v>
      </c>
      <c r="I109">
        <f t="shared" si="12"/>
        <v>102</v>
      </c>
      <c r="J109" s="17">
        <f t="shared" si="13"/>
        <v>0.15755959691867172</v>
      </c>
      <c r="K109" s="17">
        <f t="shared" si="14"/>
        <v>1.5755959691867172</v>
      </c>
      <c r="L109" s="17">
        <f t="shared" si="15"/>
        <v>3.0573796582877302</v>
      </c>
    </row>
    <row r="110" spans="1:12" x14ac:dyDescent="0.25">
      <c r="A110">
        <v>103</v>
      </c>
      <c r="B110" t="str" cm="1">
        <f t="array" ref="B110">INDEX(Sheet1!$A:$A,267-$A110)</f>
        <v>L2U3H12</v>
      </c>
      <c r="C110" s="17" cm="1">
        <f t="array" ref="C110">INDEX(Sheet1!$K:$K,267-$A110)</f>
        <v>1.5949750684501753</v>
      </c>
      <c r="D110" s="17" cm="1">
        <f t="array" ref="D110">INDEX(Sheet1!$Q:$Q,267-$A110)</f>
        <v>0.73670766860373826</v>
      </c>
      <c r="E110" s="17">
        <f t="shared" si="8"/>
        <v>1.8300833021142109</v>
      </c>
      <c r="F110" s="17">
        <f t="shared" si="9"/>
        <v>-0.23510823366403555</v>
      </c>
      <c r="G110" s="17">
        <f t="shared" si="10"/>
        <v>3.4250583705643862</v>
      </c>
      <c r="H110" s="17">
        <f t="shared" si="11"/>
        <v>0.15949750684501754</v>
      </c>
      <c r="I110">
        <f t="shared" si="12"/>
        <v>103</v>
      </c>
      <c r="J110" s="17">
        <f t="shared" si="13"/>
        <v>0.15949750684501754</v>
      </c>
      <c r="K110" s="17">
        <f t="shared" si="14"/>
        <v>1.5949750684501753</v>
      </c>
      <c r="L110" s="17">
        <f t="shared" si="15"/>
        <v>3.4250583705643862</v>
      </c>
    </row>
    <row r="111" spans="1:12" x14ac:dyDescent="0.25">
      <c r="A111">
        <v>104</v>
      </c>
      <c r="B111" t="str" cm="1">
        <f t="array" ref="B111">INDEX(Sheet1!$A:$A,267-$A111)</f>
        <v>L1U3H05</v>
      </c>
      <c r="C111" s="17" cm="1">
        <f t="array" ref="C111">INDEX(Sheet1!$K:$K,267-$A111)</f>
        <v>1.638959685062551</v>
      </c>
      <c r="D111" s="17" cm="1">
        <f t="array" ref="D111">INDEX(Sheet1!$Q:$Q,267-$A111)</f>
        <v>6.624676405004154E-2</v>
      </c>
      <c r="E111" s="17">
        <f t="shared" si="8"/>
        <v>0.1645660848581342</v>
      </c>
      <c r="F111" s="17">
        <f t="shared" si="9"/>
        <v>1.4743936002044167</v>
      </c>
      <c r="G111" s="17">
        <f t="shared" si="10"/>
        <v>1.8035257699206853</v>
      </c>
      <c r="H111" s="17">
        <f t="shared" si="11"/>
        <v>1.4743936002044167</v>
      </c>
      <c r="I111">
        <f t="shared" si="12"/>
        <v>104</v>
      </c>
      <c r="J111" s="17">
        <f t="shared" si="13"/>
        <v>1.4743936002044167</v>
      </c>
      <c r="K111" s="17">
        <f t="shared" si="14"/>
        <v>1.638959685062551</v>
      </c>
      <c r="L111" s="17">
        <f t="shared" si="15"/>
        <v>1.8035257699206853</v>
      </c>
    </row>
    <row r="112" spans="1:12" x14ac:dyDescent="0.25">
      <c r="A112">
        <v>105</v>
      </c>
      <c r="B112" t="str" cm="1">
        <f t="array" ref="B112">INDEX(Sheet1!$A:$A,267-$A112)</f>
        <v>L1U3H04</v>
      </c>
      <c r="C112" s="17" cm="1">
        <f t="array" ref="C112">INDEX(Sheet1!$K:$K,267-$A112)</f>
        <v>1.6486892986286048</v>
      </c>
      <c r="D112" s="17" cm="1">
        <f t="array" ref="D112">INDEX(Sheet1!$Q:$Q,267-$A112)</f>
        <v>1.0134301305191114E-2</v>
      </c>
      <c r="E112" s="17">
        <f t="shared" si="8"/>
        <v>2.5175000054465834E-2</v>
      </c>
      <c r="F112" s="17">
        <f t="shared" si="9"/>
        <v>1.6235142985741389</v>
      </c>
      <c r="G112" s="17">
        <f t="shared" si="10"/>
        <v>1.6738642986830707</v>
      </c>
      <c r="H112" s="17">
        <f t="shared" si="11"/>
        <v>1.6235142985741389</v>
      </c>
      <c r="I112">
        <f t="shared" si="12"/>
        <v>105</v>
      </c>
      <c r="J112" s="17">
        <f t="shared" si="13"/>
        <v>1.6235142985741389</v>
      </c>
      <c r="K112" s="17">
        <f t="shared" si="14"/>
        <v>1.6486892986286048</v>
      </c>
      <c r="L112" s="17">
        <f t="shared" si="15"/>
        <v>1.6738642986830707</v>
      </c>
    </row>
    <row r="113" spans="1:12" x14ac:dyDescent="0.25">
      <c r="A113">
        <v>106</v>
      </c>
      <c r="B113" t="str" cm="1">
        <f t="array" ref="B113">INDEX(Sheet1!$A:$A,267-$A113)</f>
        <v>L1U1H05</v>
      </c>
      <c r="C113" s="17" cm="1">
        <f t="array" ref="C113">INDEX(Sheet1!$K:$K,267-$A113)</f>
        <v>1.6897352258367864</v>
      </c>
      <c r="D113" s="17" cm="1">
        <f t="array" ref="D113">INDEX(Sheet1!$Q:$Q,267-$A113)</f>
        <v>0</v>
      </c>
      <c r="E113" s="17">
        <f t="shared" si="8"/>
        <v>0</v>
      </c>
      <c r="F113" s="17">
        <f t="shared" si="9"/>
        <v>1.6897352258367864</v>
      </c>
      <c r="G113" s="17">
        <f t="shared" si="10"/>
        <v>1.6897352258367864</v>
      </c>
      <c r="H113" s="17">
        <f t="shared" si="11"/>
        <v>1.6897352258367864</v>
      </c>
      <c r="I113">
        <f t="shared" si="12"/>
        <v>106</v>
      </c>
      <c r="J113" s="17">
        <f t="shared" si="13"/>
        <v>1.6897352258367864</v>
      </c>
      <c r="K113" s="17">
        <f t="shared" si="14"/>
        <v>1.6897352258367864</v>
      </c>
      <c r="L113" s="17">
        <f t="shared" si="15"/>
        <v>1.6897352258367864</v>
      </c>
    </row>
    <row r="114" spans="1:12" x14ac:dyDescent="0.25">
      <c r="A114">
        <v>107</v>
      </c>
      <c r="B114" t="str" cm="1">
        <f t="array" ref="B114">INDEX(Sheet1!$A:$A,267-$A114)</f>
        <v>L2U7H12</v>
      </c>
      <c r="C114" s="17" cm="1">
        <f t="array" ref="C114">INDEX(Sheet1!$K:$K,267-$A114)</f>
        <v>1.6961653399961321</v>
      </c>
      <c r="D114" s="17" cm="1">
        <f t="array" ref="D114">INDEX(Sheet1!$Q:$Q,267-$A114)</f>
        <v>0.65150225415902152</v>
      </c>
      <c r="E114" s="17">
        <f t="shared" si="8"/>
        <v>1.6184213188467738</v>
      </c>
      <c r="F114" s="17">
        <f t="shared" si="9"/>
        <v>7.77440211493583E-2</v>
      </c>
      <c r="G114" s="17">
        <f t="shared" si="10"/>
        <v>3.3145866588429058</v>
      </c>
      <c r="H114" s="17">
        <f t="shared" si="11"/>
        <v>0.16961653399961321</v>
      </c>
      <c r="I114">
        <f t="shared" si="12"/>
        <v>107</v>
      </c>
      <c r="J114" s="17">
        <f t="shared" si="13"/>
        <v>0.16961653399961321</v>
      </c>
      <c r="K114" s="17">
        <f t="shared" si="14"/>
        <v>1.6961653399961321</v>
      </c>
      <c r="L114" s="17">
        <f t="shared" si="15"/>
        <v>3.3145866588429058</v>
      </c>
    </row>
    <row r="115" spans="1:12" x14ac:dyDescent="0.25">
      <c r="A115">
        <v>108</v>
      </c>
      <c r="B115" t="str" cm="1">
        <f t="array" ref="B115">INDEX(Sheet1!$A:$A,267-$A115)</f>
        <v>L1U2H10</v>
      </c>
      <c r="C115" s="17" cm="1">
        <f t="array" ref="C115">INDEX(Sheet1!$K:$K,267-$A115)</f>
        <v>1.6982112846581519</v>
      </c>
      <c r="D115" s="17" cm="1">
        <f t="array" ref="D115">INDEX(Sheet1!$Q:$Q,267-$A115)</f>
        <v>0.20412020197464537</v>
      </c>
      <c r="E115" s="17">
        <f t="shared" si="8"/>
        <v>0.50706269145531069</v>
      </c>
      <c r="F115" s="17">
        <f t="shared" si="9"/>
        <v>1.1911485932028412</v>
      </c>
      <c r="G115" s="17">
        <f t="shared" si="10"/>
        <v>2.2052739761134625</v>
      </c>
      <c r="H115" s="17">
        <f t="shared" si="11"/>
        <v>1.1911485932028412</v>
      </c>
      <c r="I115">
        <f t="shared" si="12"/>
        <v>108</v>
      </c>
      <c r="J115" s="17">
        <f t="shared" si="13"/>
        <v>1.1911485932028412</v>
      </c>
      <c r="K115" s="17">
        <f t="shared" si="14"/>
        <v>1.6982112846581519</v>
      </c>
      <c r="L115" s="17">
        <f t="shared" si="15"/>
        <v>2.2052739761134625</v>
      </c>
    </row>
    <row r="116" spans="1:12" x14ac:dyDescent="0.25">
      <c r="A116">
        <v>109</v>
      </c>
      <c r="B116" t="str" cm="1">
        <f t="array" ref="B116">INDEX(Sheet1!$A:$A,267-$A116)</f>
        <v>L1U1H02</v>
      </c>
      <c r="C116" s="17" cm="1">
        <f t="array" ref="C116">INDEX(Sheet1!$K:$K,267-$A116)</f>
        <v>1.7157896135718496</v>
      </c>
      <c r="D116" s="17" cm="1">
        <f t="array" ref="D116">INDEX(Sheet1!$Q:$Q,267-$A116)</f>
        <v>0.25216563629344813</v>
      </c>
      <c r="E116" s="17">
        <f t="shared" si="8"/>
        <v>0.62641416672407224</v>
      </c>
      <c r="F116" s="17">
        <f t="shared" si="9"/>
        <v>1.0893754468477774</v>
      </c>
      <c r="G116" s="17">
        <f t="shared" si="10"/>
        <v>2.3422037802959217</v>
      </c>
      <c r="H116" s="17">
        <f t="shared" si="11"/>
        <v>1.0893754468477774</v>
      </c>
      <c r="I116">
        <f t="shared" si="12"/>
        <v>109</v>
      </c>
      <c r="J116" s="17">
        <f t="shared" si="13"/>
        <v>1.0893754468477774</v>
      </c>
      <c r="K116" s="17">
        <f t="shared" si="14"/>
        <v>1.7157896135718496</v>
      </c>
      <c r="L116" s="17">
        <f t="shared" si="15"/>
        <v>2.3422037802959217</v>
      </c>
    </row>
    <row r="117" spans="1:12" x14ac:dyDescent="0.25">
      <c r="A117">
        <v>110</v>
      </c>
      <c r="B117" t="str" cm="1">
        <f t="array" ref="B117">INDEX(Sheet1!$A:$A,267-$A117)</f>
        <v>L2U7H05</v>
      </c>
      <c r="C117" s="17" cm="1">
        <f t="array" ref="C117">INDEX(Sheet1!$K:$K,267-$A117)</f>
        <v>1.7240306848529341</v>
      </c>
      <c r="D117" s="17" cm="1">
        <f t="array" ref="D117">INDEX(Sheet1!$Q:$Q,267-$A117)</f>
        <v>0.68968367808430309</v>
      </c>
      <c r="E117" s="17">
        <f t="shared" si="8"/>
        <v>1.7132692339078919</v>
      </c>
      <c r="F117" s="17">
        <f t="shared" si="9"/>
        <v>1.0761450945042217E-2</v>
      </c>
      <c r="G117" s="17">
        <f t="shared" si="10"/>
        <v>3.437299918760826</v>
      </c>
      <c r="H117" s="17">
        <f t="shared" si="11"/>
        <v>0.17240306848529341</v>
      </c>
      <c r="I117">
        <f t="shared" si="12"/>
        <v>110</v>
      </c>
      <c r="J117" s="17">
        <f t="shared" si="13"/>
        <v>0.17240306848529341</v>
      </c>
      <c r="K117" s="17">
        <f t="shared" si="14"/>
        <v>1.7240306848529341</v>
      </c>
      <c r="L117" s="17">
        <f t="shared" si="15"/>
        <v>3.437299918760826</v>
      </c>
    </row>
    <row r="118" spans="1:12" x14ac:dyDescent="0.25">
      <c r="A118">
        <v>111</v>
      </c>
      <c r="B118" t="str" cm="1">
        <f t="array" ref="B118">INDEX(Sheet1!$A:$A,267-$A118)</f>
        <v>L1U2H06</v>
      </c>
      <c r="C118" s="17" cm="1">
        <f t="array" ref="C118">INDEX(Sheet1!$K:$K,267-$A118)</f>
        <v>1.7302401487879389</v>
      </c>
      <c r="D118" s="17" cm="1">
        <f t="array" ref="D118">INDEX(Sheet1!$Q:$Q,267-$A118)</f>
        <v>0.18797757499978918</v>
      </c>
      <c r="E118" s="17">
        <f t="shared" si="8"/>
        <v>0.46696218302035236</v>
      </c>
      <c r="F118" s="17">
        <f t="shared" si="9"/>
        <v>1.2632779657675866</v>
      </c>
      <c r="G118" s="17">
        <f t="shared" si="10"/>
        <v>2.1972023318082914</v>
      </c>
      <c r="H118" s="17">
        <f t="shared" si="11"/>
        <v>1.2632779657675866</v>
      </c>
      <c r="I118">
        <f t="shared" si="12"/>
        <v>111</v>
      </c>
      <c r="J118" s="17">
        <f t="shared" si="13"/>
        <v>1.2632779657675866</v>
      </c>
      <c r="K118" s="17">
        <f t="shared" si="14"/>
        <v>1.7302401487879389</v>
      </c>
      <c r="L118" s="17">
        <f t="shared" si="15"/>
        <v>2.1972023318082914</v>
      </c>
    </row>
    <row r="119" spans="1:12" x14ac:dyDescent="0.25">
      <c r="A119">
        <v>112</v>
      </c>
      <c r="B119" t="str" cm="1">
        <f t="array" ref="B119">INDEX(Sheet1!$A:$A,267-$A119)</f>
        <v>L1U3H02</v>
      </c>
      <c r="C119" s="17" cm="1">
        <f t="array" ref="C119">INDEX(Sheet1!$K:$K,267-$A119)</f>
        <v>1.732686528435309</v>
      </c>
      <c r="D119" s="17" cm="1">
        <f t="array" ref="D119">INDEX(Sheet1!$Q:$Q,267-$A119)</f>
        <v>8.2813039204782488E-2</v>
      </c>
      <c r="E119" s="17">
        <f t="shared" si="8"/>
        <v>0.20571899371325872</v>
      </c>
      <c r="F119" s="17">
        <f t="shared" si="9"/>
        <v>1.5269675347220504</v>
      </c>
      <c r="G119" s="17">
        <f t="shared" si="10"/>
        <v>1.9384055221485677</v>
      </c>
      <c r="H119" s="17">
        <f t="shared" si="11"/>
        <v>1.5269675347220504</v>
      </c>
      <c r="I119">
        <f t="shared" si="12"/>
        <v>112</v>
      </c>
      <c r="J119" s="17">
        <f t="shared" si="13"/>
        <v>1.5269675347220504</v>
      </c>
      <c r="K119" s="17">
        <f t="shared" si="14"/>
        <v>1.732686528435309</v>
      </c>
      <c r="L119" s="17">
        <f t="shared" si="15"/>
        <v>1.9384055221485677</v>
      </c>
    </row>
    <row r="120" spans="1:12" x14ac:dyDescent="0.25">
      <c r="A120">
        <v>113</v>
      </c>
      <c r="B120" t="str" cm="1">
        <f t="array" ref="B120">INDEX(Sheet1!$A:$A,267-$A120)</f>
        <v>L1U1H04</v>
      </c>
      <c r="C120" s="17" cm="1">
        <f t="array" ref="C120">INDEX(Sheet1!$K:$K,267-$A120)</f>
        <v>1.734798475737072</v>
      </c>
      <c r="D120" s="17" cm="1">
        <f t="array" ref="D120">INDEX(Sheet1!$Q:$Q,267-$A120)</f>
        <v>0.16691714967450516</v>
      </c>
      <c r="E120" s="17">
        <f t="shared" si="8"/>
        <v>0.41464518624431257</v>
      </c>
      <c r="F120" s="17">
        <f t="shared" si="9"/>
        <v>1.3201532894927595</v>
      </c>
      <c r="G120" s="17">
        <f t="shared" si="10"/>
        <v>2.1494436619813846</v>
      </c>
      <c r="H120" s="17">
        <f t="shared" si="11"/>
        <v>1.3201532894927595</v>
      </c>
      <c r="I120">
        <f t="shared" si="12"/>
        <v>113</v>
      </c>
      <c r="J120" s="17">
        <f t="shared" si="13"/>
        <v>1.3201532894927595</v>
      </c>
      <c r="K120" s="17">
        <f t="shared" si="14"/>
        <v>1.734798475737072</v>
      </c>
      <c r="L120" s="17">
        <f t="shared" si="15"/>
        <v>2.1494436619813846</v>
      </c>
    </row>
    <row r="121" spans="1:12" x14ac:dyDescent="0.25">
      <c r="A121">
        <v>114</v>
      </c>
      <c r="B121" t="str" cm="1">
        <f t="array" ref="B121">INDEX(Sheet1!$A:$A,267-$A121)</f>
        <v>L1U5H12</v>
      </c>
      <c r="C121" s="17" cm="1">
        <f t="array" ref="C121">INDEX(Sheet1!$K:$K,267-$A121)</f>
        <v>1.7405129663416277</v>
      </c>
      <c r="D121" s="17" cm="1">
        <f t="array" ref="D121">INDEX(Sheet1!$Q:$Q,267-$A121)</f>
        <v>0.24737639309443593</v>
      </c>
      <c r="E121" s="17">
        <f t="shared" si="8"/>
        <v>0.6145170270826622</v>
      </c>
      <c r="F121" s="17">
        <f t="shared" si="9"/>
        <v>1.1259959392589654</v>
      </c>
      <c r="G121" s="17">
        <f t="shared" si="10"/>
        <v>2.35502999342429</v>
      </c>
      <c r="H121" s="17">
        <f t="shared" si="11"/>
        <v>1.1259959392589654</v>
      </c>
      <c r="I121">
        <f t="shared" si="12"/>
        <v>114</v>
      </c>
      <c r="J121" s="17">
        <f t="shared" si="13"/>
        <v>1.1259959392589654</v>
      </c>
      <c r="K121" s="17">
        <f t="shared" si="14"/>
        <v>1.7405129663416277</v>
      </c>
      <c r="L121" s="17">
        <f t="shared" si="15"/>
        <v>2.35502999342429</v>
      </c>
    </row>
    <row r="122" spans="1:12" x14ac:dyDescent="0.25">
      <c r="A122">
        <v>115</v>
      </c>
      <c r="B122" t="str" cm="1">
        <f t="array" ref="B122">INDEX(Sheet1!$A:$A,267-$A122)</f>
        <v>L1U2H09</v>
      </c>
      <c r="C122" s="17" cm="1">
        <f t="array" ref="C122">INDEX(Sheet1!$K:$K,267-$A122)</f>
        <v>1.751460618479191</v>
      </c>
      <c r="D122" s="17" cm="1">
        <f t="array" ref="D122">INDEX(Sheet1!$Q:$Q,267-$A122)</f>
        <v>0</v>
      </c>
      <c r="E122" s="17">
        <f t="shared" si="8"/>
        <v>0</v>
      </c>
      <c r="F122" s="17">
        <f t="shared" si="9"/>
        <v>1.751460618479191</v>
      </c>
      <c r="G122" s="17">
        <f t="shared" si="10"/>
        <v>1.751460618479191</v>
      </c>
      <c r="H122" s="17">
        <f t="shared" si="11"/>
        <v>1.751460618479191</v>
      </c>
      <c r="I122">
        <f t="shared" si="12"/>
        <v>115</v>
      </c>
      <c r="J122" s="17">
        <f t="shared" si="13"/>
        <v>1.751460618479191</v>
      </c>
      <c r="K122" s="17">
        <f t="shared" si="14"/>
        <v>1.751460618479191</v>
      </c>
      <c r="L122" s="17">
        <f t="shared" si="15"/>
        <v>1.751460618479191</v>
      </c>
    </row>
    <row r="123" spans="1:12" x14ac:dyDescent="0.25">
      <c r="A123">
        <v>116</v>
      </c>
      <c r="B123" t="str" cm="1">
        <f t="array" ref="B123">INDEX(Sheet1!$A:$A,267-$A123)</f>
        <v>L2U1H03</v>
      </c>
      <c r="C123" s="17" cm="1">
        <f t="array" ref="C123">INDEX(Sheet1!$K:$K,267-$A123)</f>
        <v>1.7546734503165249</v>
      </c>
      <c r="D123" s="17" cm="1">
        <f t="array" ref="D123">INDEX(Sheet1!$Q:$Q,267-$A123)</f>
        <v>0.85241495564488867</v>
      </c>
      <c r="E123" s="17">
        <f t="shared" si="8"/>
        <v>2.1175161373774527</v>
      </c>
      <c r="F123" s="17">
        <f t="shared" si="9"/>
        <v>-0.36284268706092782</v>
      </c>
      <c r="G123" s="17">
        <f t="shared" si="10"/>
        <v>3.8721895876939776</v>
      </c>
      <c r="H123" s="17">
        <f t="shared" si="11"/>
        <v>0.17546734503165248</v>
      </c>
      <c r="I123">
        <f t="shared" si="12"/>
        <v>116</v>
      </c>
      <c r="J123" s="17">
        <f t="shared" si="13"/>
        <v>0.17546734503165248</v>
      </c>
      <c r="K123" s="17">
        <f t="shared" si="14"/>
        <v>1.7546734503165249</v>
      </c>
      <c r="L123" s="17">
        <f t="shared" si="15"/>
        <v>3.8721895876939776</v>
      </c>
    </row>
    <row r="124" spans="1:12" x14ac:dyDescent="0.25">
      <c r="A124">
        <v>117</v>
      </c>
      <c r="B124" t="str" cm="1">
        <f t="array" ref="B124">INDEX(Sheet1!$A:$A,267-$A124)</f>
        <v>L1U3H03</v>
      </c>
      <c r="C124" s="17" cm="1">
        <f t="array" ref="C124">INDEX(Sheet1!$K:$K,267-$A124)</f>
        <v>1.7807391199655063</v>
      </c>
      <c r="D124" s="17" cm="1">
        <f t="array" ref="D124">INDEX(Sheet1!$Q:$Q,267-$A124)</f>
        <v>8.0455661120263616E-2</v>
      </c>
      <c r="E124" s="17">
        <f t="shared" si="8"/>
        <v>0.19986294191265166</v>
      </c>
      <c r="F124" s="17">
        <f t="shared" si="9"/>
        <v>1.5808761780528546</v>
      </c>
      <c r="G124" s="17">
        <f t="shared" si="10"/>
        <v>1.9806020618781579</v>
      </c>
      <c r="H124" s="17">
        <f t="shared" si="11"/>
        <v>1.5808761780528546</v>
      </c>
      <c r="I124">
        <f t="shared" si="12"/>
        <v>117</v>
      </c>
      <c r="J124" s="17">
        <f t="shared" si="13"/>
        <v>1.5808761780528546</v>
      </c>
      <c r="K124" s="17">
        <f t="shared" si="14"/>
        <v>1.7807391199655063</v>
      </c>
      <c r="L124" s="17">
        <f t="shared" si="15"/>
        <v>1.9806020618781579</v>
      </c>
    </row>
    <row r="125" spans="1:12" x14ac:dyDescent="0.25">
      <c r="A125">
        <v>118</v>
      </c>
      <c r="B125" t="str" cm="1">
        <f t="array" ref="B125">INDEX(Sheet1!$A:$A,267-$A125)</f>
        <v>L2U6H05</v>
      </c>
      <c r="C125" s="17" cm="1">
        <f t="array" ref="C125">INDEX(Sheet1!$K:$K,267-$A125)</f>
        <v>1.8403884492640026</v>
      </c>
      <c r="D125" s="17" cm="1">
        <f t="array" ref="D125">INDEX(Sheet1!$Q:$Q,267-$A125)</f>
        <v>0.32822813421803071</v>
      </c>
      <c r="E125" s="17">
        <f t="shared" si="8"/>
        <v>0.81536388626845901</v>
      </c>
      <c r="F125" s="17">
        <f t="shared" si="9"/>
        <v>1.0250245629955437</v>
      </c>
      <c r="G125" s="17">
        <f t="shared" si="10"/>
        <v>2.6557523355324615</v>
      </c>
      <c r="H125" s="17">
        <f t="shared" si="11"/>
        <v>1.0250245629955437</v>
      </c>
      <c r="I125">
        <f t="shared" si="12"/>
        <v>118</v>
      </c>
      <c r="J125" s="17">
        <f t="shared" si="13"/>
        <v>1.0250245629955437</v>
      </c>
      <c r="K125" s="17">
        <f t="shared" si="14"/>
        <v>1.8403884492640026</v>
      </c>
      <c r="L125" s="17">
        <f t="shared" si="15"/>
        <v>2.6557523355324615</v>
      </c>
    </row>
    <row r="126" spans="1:12" x14ac:dyDescent="0.25">
      <c r="A126">
        <v>119</v>
      </c>
      <c r="B126" t="str" cm="1">
        <f t="array" ref="B126">INDEX(Sheet1!$A:$A,267-$A126)</f>
        <v>L2U6H08</v>
      </c>
      <c r="C126" s="17" cm="1">
        <f t="array" ref="C126">INDEX(Sheet1!$K:$K,267-$A126)</f>
        <v>1.8560491086307167</v>
      </c>
      <c r="D126" s="17" cm="1">
        <f t="array" ref="D126">INDEX(Sheet1!$Q:$Q,267-$A126)</f>
        <v>0.88363893668109939</v>
      </c>
      <c r="E126" s="17">
        <f t="shared" si="8"/>
        <v>2.195080806180481</v>
      </c>
      <c r="F126" s="17">
        <f t="shared" si="9"/>
        <v>-0.33903169754976425</v>
      </c>
      <c r="G126" s="17">
        <f t="shared" si="10"/>
        <v>4.0511299148111979</v>
      </c>
      <c r="H126" s="17">
        <f t="shared" si="11"/>
        <v>0.18560491086307168</v>
      </c>
      <c r="I126">
        <f t="shared" si="12"/>
        <v>119</v>
      </c>
      <c r="J126" s="17">
        <f t="shared" si="13"/>
        <v>0.18560491086307168</v>
      </c>
      <c r="K126" s="17">
        <f t="shared" si="14"/>
        <v>1.8560491086307167</v>
      </c>
      <c r="L126" s="17">
        <f t="shared" si="15"/>
        <v>4.0511299148111979</v>
      </c>
    </row>
    <row r="127" spans="1:12" x14ac:dyDescent="0.25">
      <c r="A127">
        <v>120</v>
      </c>
      <c r="B127" t="str" cm="1">
        <f t="array" ref="B127">INDEX(Sheet1!$A:$A,267-$A127)</f>
        <v>L2U3H07</v>
      </c>
      <c r="C127" s="17" cm="1">
        <f t="array" ref="C127">INDEX(Sheet1!$K:$K,267-$A127)</f>
        <v>1.8830804407045636</v>
      </c>
      <c r="D127" s="17" cm="1">
        <f t="array" ref="D127">INDEX(Sheet1!$Q:$Q,267-$A127)</f>
        <v>0.90508541237154549</v>
      </c>
      <c r="E127" s="17">
        <f t="shared" si="8"/>
        <v>2.2483568052272549</v>
      </c>
      <c r="F127" s="17">
        <f t="shared" si="9"/>
        <v>-0.3652763645226913</v>
      </c>
      <c r="G127" s="17">
        <f t="shared" si="10"/>
        <v>4.1314372459318189</v>
      </c>
      <c r="H127" s="17">
        <f t="shared" si="11"/>
        <v>0.18830804407045637</v>
      </c>
      <c r="I127">
        <f t="shared" si="12"/>
        <v>120</v>
      </c>
      <c r="J127" s="17">
        <f t="shared" si="13"/>
        <v>0.18830804407045637</v>
      </c>
      <c r="K127" s="17">
        <f t="shared" si="14"/>
        <v>1.8830804407045636</v>
      </c>
      <c r="L127" s="17">
        <f t="shared" si="15"/>
        <v>4.1314372459318189</v>
      </c>
    </row>
    <row r="128" spans="1:12" x14ac:dyDescent="0.25">
      <c r="A128">
        <v>121</v>
      </c>
      <c r="B128" t="str" cm="1">
        <f t="array" ref="B128">INDEX(Sheet1!$A:$A,267-$A128)</f>
        <v>L2U2H08</v>
      </c>
      <c r="C128" s="17" cm="1">
        <f t="array" ref="C128">INDEX(Sheet1!$K:$K,267-$A128)</f>
        <v>1.8947900621960105</v>
      </c>
      <c r="D128" s="17" cm="1">
        <f t="array" ref="D128">INDEX(Sheet1!$Q:$Q,267-$A128)</f>
        <v>0.8565238375128984</v>
      </c>
      <c r="E128" s="17">
        <f t="shared" si="8"/>
        <v>2.1277231657789031</v>
      </c>
      <c r="F128" s="17">
        <f t="shared" si="9"/>
        <v>-0.23293310358289254</v>
      </c>
      <c r="G128" s="17">
        <f t="shared" si="10"/>
        <v>4.0225132279749136</v>
      </c>
      <c r="H128" s="17">
        <f t="shared" si="11"/>
        <v>0.18947900621960106</v>
      </c>
      <c r="I128">
        <f t="shared" si="12"/>
        <v>121</v>
      </c>
      <c r="J128" s="17">
        <f t="shared" si="13"/>
        <v>0.18947900621960106</v>
      </c>
      <c r="K128" s="17">
        <f t="shared" si="14"/>
        <v>1.8947900621960105</v>
      </c>
      <c r="L128" s="17">
        <f t="shared" si="15"/>
        <v>4.0225132279749136</v>
      </c>
    </row>
    <row r="129" spans="1:12" x14ac:dyDescent="0.25">
      <c r="A129">
        <v>122</v>
      </c>
      <c r="B129" t="str" cm="1">
        <f t="array" ref="B129">INDEX(Sheet1!$A:$A,267-$A129)</f>
        <v>L1U2H05</v>
      </c>
      <c r="C129" s="17" cm="1">
        <f t="array" ref="C129">INDEX(Sheet1!$K:$K,267-$A129)</f>
        <v>1.9686696698296196</v>
      </c>
      <c r="D129" s="17" cm="1">
        <f t="array" ref="D129">INDEX(Sheet1!$Q:$Q,267-$A129)</f>
        <v>0.21696679227198049</v>
      </c>
      <c r="E129" s="17">
        <f t="shared" si="8"/>
        <v>0.53897539088032675</v>
      </c>
      <c r="F129" s="17">
        <f t="shared" si="9"/>
        <v>1.4296942789492928</v>
      </c>
      <c r="G129" s="17">
        <f t="shared" si="10"/>
        <v>2.5076450607099465</v>
      </c>
      <c r="H129" s="17">
        <f t="shared" si="11"/>
        <v>1.4296942789492928</v>
      </c>
      <c r="I129">
        <f t="shared" si="12"/>
        <v>122</v>
      </c>
      <c r="J129" s="17">
        <f t="shared" si="13"/>
        <v>1.4296942789492928</v>
      </c>
      <c r="K129" s="17">
        <f t="shared" si="14"/>
        <v>1.9686696698296196</v>
      </c>
      <c r="L129" s="17">
        <f t="shared" si="15"/>
        <v>2.5076450607099465</v>
      </c>
    </row>
    <row r="130" spans="1:12" x14ac:dyDescent="0.25">
      <c r="A130">
        <v>123</v>
      </c>
      <c r="B130" t="str" cm="1">
        <f t="array" ref="B130">INDEX(Sheet1!$A:$A,267-$A130)</f>
        <v>L1U2H08</v>
      </c>
      <c r="C130" s="17" cm="1">
        <f t="array" ref="C130">INDEX(Sheet1!$K:$K,267-$A130)</f>
        <v>1.9703116836642922</v>
      </c>
      <c r="D130" s="17" cm="1">
        <f t="array" ref="D130">INDEX(Sheet1!$Q:$Q,267-$A130)</f>
        <v>0.42648008129875858</v>
      </c>
      <c r="E130" s="17">
        <f t="shared" si="8"/>
        <v>1.059435253264593</v>
      </c>
      <c r="F130" s="17">
        <f t="shared" si="9"/>
        <v>0.91087643039969923</v>
      </c>
      <c r="G130" s="17">
        <f t="shared" si="10"/>
        <v>3.029746936928885</v>
      </c>
      <c r="H130" s="17">
        <f t="shared" si="11"/>
        <v>0.91087643039969923</v>
      </c>
      <c r="I130">
        <f t="shared" si="12"/>
        <v>123</v>
      </c>
      <c r="J130" s="17">
        <f t="shared" si="13"/>
        <v>0.91087643039969923</v>
      </c>
      <c r="K130" s="17">
        <f t="shared" si="14"/>
        <v>1.9703116836642922</v>
      </c>
      <c r="L130" s="17">
        <f t="shared" si="15"/>
        <v>3.029746936928885</v>
      </c>
    </row>
    <row r="131" spans="1:12" x14ac:dyDescent="0.25">
      <c r="A131">
        <v>124</v>
      </c>
      <c r="B131" t="str" cm="1">
        <f t="array" ref="B131">INDEX(Sheet1!$A:$A,267-$A131)</f>
        <v>L1U5H10</v>
      </c>
      <c r="C131" s="17" cm="1">
        <f t="array" ref="C131">INDEX(Sheet1!$K:$K,267-$A131)</f>
        <v>1.977301944896475</v>
      </c>
      <c r="D131" s="17" cm="1">
        <f t="array" ref="D131">INDEX(Sheet1!$Q:$Q,267-$A131)</f>
        <v>0.53186538310848774</v>
      </c>
      <c r="E131" s="17">
        <f t="shared" si="8"/>
        <v>1.3212268557543314</v>
      </c>
      <c r="F131" s="17">
        <f t="shared" si="9"/>
        <v>0.65607508914214363</v>
      </c>
      <c r="G131" s="17">
        <f t="shared" si="10"/>
        <v>3.2985288006508062</v>
      </c>
      <c r="H131" s="17">
        <f t="shared" si="11"/>
        <v>0.65607508914214363</v>
      </c>
      <c r="I131">
        <f t="shared" si="12"/>
        <v>124</v>
      </c>
      <c r="J131" s="17">
        <f t="shared" si="13"/>
        <v>0.65607508914214363</v>
      </c>
      <c r="K131" s="17">
        <f t="shared" si="14"/>
        <v>1.977301944896475</v>
      </c>
      <c r="L131" s="17">
        <f t="shared" si="15"/>
        <v>3.2985288006508062</v>
      </c>
    </row>
    <row r="132" spans="1:12" x14ac:dyDescent="0.25">
      <c r="A132">
        <v>125</v>
      </c>
      <c r="B132" t="str" cm="1">
        <f t="array" ref="B132">INDEX(Sheet1!$A:$A,267-$A132)</f>
        <v>L1U1H01</v>
      </c>
      <c r="C132" s="17" cm="1">
        <f t="array" ref="C132">INDEX(Sheet1!$K:$K,267-$A132)</f>
        <v>1.9901236809053611</v>
      </c>
      <c r="D132" s="17" cm="1">
        <f t="array" ref="D132">INDEX(Sheet1!$Q:$Q,267-$A132)</f>
        <v>9.0669180294812607E-2</v>
      </c>
      <c r="E132" s="17">
        <f t="shared" si="8"/>
        <v>0.2252347300638339</v>
      </c>
      <c r="F132" s="17">
        <f t="shared" si="9"/>
        <v>1.7648889508415271</v>
      </c>
      <c r="G132" s="17">
        <f t="shared" si="10"/>
        <v>2.2153584109691948</v>
      </c>
      <c r="H132" s="17">
        <f t="shared" si="11"/>
        <v>1.7648889508415271</v>
      </c>
      <c r="I132">
        <f t="shared" si="12"/>
        <v>125</v>
      </c>
      <c r="J132" s="17">
        <f t="shared" si="13"/>
        <v>1.7648889508415271</v>
      </c>
      <c r="K132" s="17">
        <f t="shared" si="14"/>
        <v>1.9901236809053611</v>
      </c>
      <c r="L132" s="17">
        <f t="shared" si="15"/>
        <v>2.2153584109691948</v>
      </c>
    </row>
    <row r="133" spans="1:12" x14ac:dyDescent="0.25">
      <c r="A133">
        <v>126</v>
      </c>
      <c r="B133" t="str" cm="1">
        <f t="array" ref="B133">INDEX(Sheet1!$A:$A,267-$A133)</f>
        <v>L2U1H05</v>
      </c>
      <c r="C133" s="17" cm="1">
        <f t="array" ref="C133">INDEX(Sheet1!$K:$K,267-$A133)</f>
        <v>2.002134608079067</v>
      </c>
      <c r="D133" s="17" cm="1">
        <f t="array" ref="D133">INDEX(Sheet1!$Q:$Q,267-$A133)</f>
        <v>0.65899173312609338</v>
      </c>
      <c r="E133" s="17">
        <f t="shared" si="8"/>
        <v>1.6370262159902378</v>
      </c>
      <c r="F133" s="17">
        <f t="shared" si="9"/>
        <v>0.36510839208882917</v>
      </c>
      <c r="G133" s="17">
        <f t="shared" si="10"/>
        <v>3.6391608240693047</v>
      </c>
      <c r="H133" s="17">
        <f t="shared" si="11"/>
        <v>0.36510839208882917</v>
      </c>
      <c r="I133">
        <f t="shared" si="12"/>
        <v>126</v>
      </c>
      <c r="J133" s="17">
        <f t="shared" si="13"/>
        <v>0.36510839208882917</v>
      </c>
      <c r="K133" s="17">
        <f t="shared" si="14"/>
        <v>2.002134608079067</v>
      </c>
      <c r="L133" s="17">
        <f t="shared" si="15"/>
        <v>3.6391608240693047</v>
      </c>
    </row>
    <row r="134" spans="1:12" x14ac:dyDescent="0.25">
      <c r="A134">
        <v>127</v>
      </c>
      <c r="B134" t="str" cm="1">
        <f t="array" ref="B134">INDEX(Sheet1!$A:$A,267-$A134)</f>
        <v>L2U4H06</v>
      </c>
      <c r="C134" s="17" cm="1">
        <f t="array" ref="C134">INDEX(Sheet1!$K:$K,267-$A134)</f>
        <v>2.0128114648821795</v>
      </c>
      <c r="D134" s="17" cm="1">
        <f t="array" ref="D134">INDEX(Sheet1!$Q:$Q,267-$A134)</f>
        <v>0.82847049300449915</v>
      </c>
      <c r="E134" s="17">
        <f t="shared" si="8"/>
        <v>2.0580347947448643</v>
      </c>
      <c r="F134" s="17">
        <f t="shared" si="9"/>
        <v>-4.5223329862684736E-2</v>
      </c>
      <c r="G134" s="17">
        <f t="shared" si="10"/>
        <v>4.0708462596270438</v>
      </c>
      <c r="H134" s="17">
        <f t="shared" si="11"/>
        <v>0.20128114648821796</v>
      </c>
      <c r="I134">
        <f t="shared" si="12"/>
        <v>127</v>
      </c>
      <c r="J134" s="17">
        <f t="shared" si="13"/>
        <v>0.20128114648821796</v>
      </c>
      <c r="K134" s="17">
        <f t="shared" si="14"/>
        <v>2.0128114648821795</v>
      </c>
      <c r="L134" s="17">
        <f t="shared" si="15"/>
        <v>4.0708462596270438</v>
      </c>
    </row>
    <row r="135" spans="1:12" x14ac:dyDescent="0.25">
      <c r="A135">
        <v>128</v>
      </c>
      <c r="B135" t="str" cm="1">
        <f t="array" ref="B135">INDEX(Sheet1!$A:$A,267-$A135)</f>
        <v>L2U2H07</v>
      </c>
      <c r="C135" s="17" cm="1">
        <f t="array" ref="C135">INDEX(Sheet1!$K:$K,267-$A135)</f>
        <v>2.0452015063002493</v>
      </c>
      <c r="D135" s="17" cm="1">
        <f t="array" ref="D135">INDEX(Sheet1!$Q:$Q,267-$A135)</f>
        <v>0.97134013657210372</v>
      </c>
      <c r="E135" s="17">
        <f t="shared" si="8"/>
        <v>2.4129426641954788</v>
      </c>
      <c r="F135" s="17">
        <f t="shared" si="9"/>
        <v>-0.36774115789522943</v>
      </c>
      <c r="G135" s="17">
        <f t="shared" si="10"/>
        <v>4.4581441704957285</v>
      </c>
      <c r="H135" s="17">
        <f t="shared" si="11"/>
        <v>0.20452015063002493</v>
      </c>
      <c r="I135">
        <f t="shared" si="12"/>
        <v>128</v>
      </c>
      <c r="J135" s="17">
        <f t="shared" si="13"/>
        <v>0.20452015063002493</v>
      </c>
      <c r="K135" s="17">
        <f t="shared" si="14"/>
        <v>2.0452015063002493</v>
      </c>
      <c r="L135" s="17">
        <f t="shared" si="15"/>
        <v>4.4581441704957285</v>
      </c>
    </row>
    <row r="136" spans="1:12" x14ac:dyDescent="0.25">
      <c r="A136">
        <v>129</v>
      </c>
      <c r="B136" t="str" cm="1">
        <f t="array" ref="B136">INDEX(Sheet1!$A:$A,267-$A136)</f>
        <v>L2U6H10</v>
      </c>
      <c r="C136" s="17" cm="1">
        <f t="array" ref="C136">INDEX(Sheet1!$K:$K,267-$A136)</f>
        <v>2.1182448780630629</v>
      </c>
      <c r="D136" s="17" cm="1">
        <f t="array" ref="D136">INDEX(Sheet1!$Q:$Q,267-$A136)</f>
        <v>0.87557146985313561</v>
      </c>
      <c r="E136" s="17">
        <f t="shared" si="8"/>
        <v>2.1750401075948411</v>
      </c>
      <c r="F136" s="17">
        <f t="shared" si="9"/>
        <v>-5.679522953177818E-2</v>
      </c>
      <c r="G136" s="17">
        <f t="shared" si="10"/>
        <v>4.2932849856579036</v>
      </c>
      <c r="H136" s="17">
        <f t="shared" si="11"/>
        <v>0.21182448780630631</v>
      </c>
      <c r="I136">
        <f t="shared" si="12"/>
        <v>129</v>
      </c>
      <c r="J136" s="17">
        <f t="shared" si="13"/>
        <v>0.21182448780630631</v>
      </c>
      <c r="K136" s="17">
        <f t="shared" si="14"/>
        <v>2.1182448780630629</v>
      </c>
      <c r="L136" s="17">
        <f t="shared" si="15"/>
        <v>4.2932849856579036</v>
      </c>
    </row>
    <row r="137" spans="1:12" x14ac:dyDescent="0.25">
      <c r="A137">
        <v>130</v>
      </c>
      <c r="B137" t="str" cm="1">
        <f t="array" ref="B137">INDEX(Sheet1!$A:$A,267-$A137)</f>
        <v>L2U2H10</v>
      </c>
      <c r="C137" s="17" cm="1">
        <f t="array" ref="C137">INDEX(Sheet1!$K:$K,267-$A137)</f>
        <v>2.1243378469492957</v>
      </c>
      <c r="D137" s="17" cm="1">
        <f t="array" ref="D137">INDEX(Sheet1!$Q:$Q,267-$A137)</f>
        <v>0.93429333761473521</v>
      </c>
      <c r="E137" s="17">
        <f t="shared" ref="E137:E200" si="16">$B$5*D137/SQRT($B$3)</f>
        <v>2.3209133138058471</v>
      </c>
      <c r="F137" s="17">
        <f t="shared" ref="F137:F200" si="17">C137-E137</f>
        <v>-0.19657546685655136</v>
      </c>
      <c r="G137" s="17">
        <f t="shared" ref="G137:G200" si="18">C137+E137</f>
        <v>4.4452511607551433</v>
      </c>
      <c r="H137" s="17">
        <f t="shared" ref="H137:H200" si="19">MAX(F137,C137/10)</f>
        <v>0.21243378469492957</v>
      </c>
      <c r="I137">
        <f t="shared" ref="I137:I200" si="20">A137</f>
        <v>130</v>
      </c>
      <c r="J137" s="17">
        <f t="shared" ref="J137:J200" si="21">H137</f>
        <v>0.21243378469492957</v>
      </c>
      <c r="K137" s="17">
        <f t="shared" ref="K137:K200" si="22">C137</f>
        <v>2.1243378469492957</v>
      </c>
      <c r="L137" s="17">
        <f t="shared" ref="L137:L200" si="23">G137</f>
        <v>4.4452511607551433</v>
      </c>
    </row>
    <row r="138" spans="1:12" x14ac:dyDescent="0.25">
      <c r="A138">
        <v>131</v>
      </c>
      <c r="B138" t="str" cm="1">
        <f t="array" ref="B138">INDEX(Sheet1!$A:$A,267-$A138)</f>
        <v>L2U6H11</v>
      </c>
      <c r="C138" s="17" cm="1">
        <f t="array" ref="C138">INDEX(Sheet1!$K:$K,267-$A138)</f>
        <v>2.1251281126165544</v>
      </c>
      <c r="D138" s="17" cm="1">
        <f t="array" ref="D138">INDEX(Sheet1!$Q:$Q,267-$A138)</f>
        <v>1.3628421063138547</v>
      </c>
      <c r="E138" s="17">
        <f t="shared" si="16"/>
        <v>3.385487471455499</v>
      </c>
      <c r="F138" s="17">
        <f t="shared" si="17"/>
        <v>-1.2603593588389446</v>
      </c>
      <c r="G138" s="17">
        <f t="shared" si="18"/>
        <v>5.5106155840720534</v>
      </c>
      <c r="H138" s="17">
        <f t="shared" si="19"/>
        <v>0.21251281126165544</v>
      </c>
      <c r="I138">
        <f t="shared" si="20"/>
        <v>131</v>
      </c>
      <c r="J138" s="17">
        <f t="shared" si="21"/>
        <v>0.21251281126165544</v>
      </c>
      <c r="K138" s="17">
        <f t="shared" si="22"/>
        <v>2.1251281126165544</v>
      </c>
      <c r="L138" s="17">
        <f t="shared" si="23"/>
        <v>5.5106155840720534</v>
      </c>
    </row>
    <row r="139" spans="1:12" x14ac:dyDescent="0.25">
      <c r="A139">
        <v>132</v>
      </c>
      <c r="B139" t="str" cm="1">
        <f t="array" ref="B139">INDEX(Sheet1!$A:$A,267-$A139)</f>
        <v>L2U6H04</v>
      </c>
      <c r="C139" s="17" cm="1">
        <f t="array" ref="C139">INDEX(Sheet1!$K:$K,267-$A139)</f>
        <v>2.1329308999444634</v>
      </c>
      <c r="D139" s="17" cm="1">
        <f t="array" ref="D139">INDEX(Sheet1!$Q:$Q,267-$A139)</f>
        <v>0.5515484513995319</v>
      </c>
      <c r="E139" s="17">
        <f t="shared" si="16"/>
        <v>1.3701223079790712</v>
      </c>
      <c r="F139" s="17">
        <f t="shared" si="17"/>
        <v>0.76280859196539219</v>
      </c>
      <c r="G139" s="17">
        <f t="shared" si="18"/>
        <v>3.5030532079235348</v>
      </c>
      <c r="H139" s="17">
        <f t="shared" si="19"/>
        <v>0.76280859196539219</v>
      </c>
      <c r="I139">
        <f t="shared" si="20"/>
        <v>132</v>
      </c>
      <c r="J139" s="17">
        <f t="shared" si="21"/>
        <v>0.76280859196539219</v>
      </c>
      <c r="K139" s="17">
        <f t="shared" si="22"/>
        <v>2.1329308999444634</v>
      </c>
      <c r="L139" s="17">
        <f t="shared" si="23"/>
        <v>3.5030532079235348</v>
      </c>
    </row>
    <row r="140" spans="1:12" x14ac:dyDescent="0.25">
      <c r="A140">
        <v>133</v>
      </c>
      <c r="B140" t="str" cm="1">
        <f t="array" ref="B140">INDEX(Sheet1!$A:$A,267-$A140)</f>
        <v>L1U8H12</v>
      </c>
      <c r="C140" s="17" cm="1">
        <f t="array" ref="C140">INDEX(Sheet1!$K:$K,267-$A140)</f>
        <v>2.1343341293051181</v>
      </c>
      <c r="D140" s="17" cm="1">
        <f t="array" ref="D140">INDEX(Sheet1!$Q:$Q,267-$A140)</f>
        <v>0.47789131629429266</v>
      </c>
      <c r="E140" s="17">
        <f t="shared" si="16"/>
        <v>1.1871478409246574</v>
      </c>
      <c r="F140" s="17">
        <f t="shared" si="17"/>
        <v>0.94718628838046071</v>
      </c>
      <c r="G140" s="17">
        <f t="shared" si="18"/>
        <v>3.3214819702297755</v>
      </c>
      <c r="H140" s="17">
        <f t="shared" si="19"/>
        <v>0.94718628838046071</v>
      </c>
      <c r="I140">
        <f t="shared" si="20"/>
        <v>133</v>
      </c>
      <c r="J140" s="17">
        <f t="shared" si="21"/>
        <v>0.94718628838046071</v>
      </c>
      <c r="K140" s="17">
        <f t="shared" si="22"/>
        <v>2.1343341293051181</v>
      </c>
      <c r="L140" s="17">
        <f t="shared" si="23"/>
        <v>3.3214819702297755</v>
      </c>
    </row>
    <row r="141" spans="1:12" x14ac:dyDescent="0.25">
      <c r="A141">
        <v>134</v>
      </c>
      <c r="B141" t="str" cm="1">
        <f t="array" ref="B141">INDEX(Sheet1!$A:$A,267-$A141)</f>
        <v>L1U5H05</v>
      </c>
      <c r="C141" s="17" cm="1">
        <f t="array" ref="C141">INDEX(Sheet1!$K:$K,267-$A141)</f>
        <v>2.1868885292929225</v>
      </c>
      <c r="D141" s="17" cm="1">
        <f t="array" ref="D141">INDEX(Sheet1!$Q:$Q,267-$A141)</f>
        <v>0.21977358149512718</v>
      </c>
      <c r="E141" s="17">
        <f t="shared" si="16"/>
        <v>0.54594784183848</v>
      </c>
      <c r="F141" s="17">
        <f t="shared" si="17"/>
        <v>1.6409406874544425</v>
      </c>
      <c r="G141" s="17">
        <f t="shared" si="18"/>
        <v>2.7328363711314028</v>
      </c>
      <c r="H141" s="17">
        <f t="shared" si="19"/>
        <v>1.6409406874544425</v>
      </c>
      <c r="I141">
        <f t="shared" si="20"/>
        <v>134</v>
      </c>
      <c r="J141" s="17">
        <f t="shared" si="21"/>
        <v>1.6409406874544425</v>
      </c>
      <c r="K141" s="17">
        <f t="shared" si="22"/>
        <v>2.1868885292929225</v>
      </c>
      <c r="L141" s="17">
        <f t="shared" si="23"/>
        <v>2.7328363711314028</v>
      </c>
    </row>
    <row r="142" spans="1:12" x14ac:dyDescent="0.25">
      <c r="A142">
        <v>135</v>
      </c>
      <c r="B142" t="str" cm="1">
        <f t="array" ref="B142">INDEX(Sheet1!$A:$A,267-$A142)</f>
        <v>L1U1H06</v>
      </c>
      <c r="C142" s="17" cm="1">
        <f t="array" ref="C142">INDEX(Sheet1!$K:$K,267-$A142)</f>
        <v>2.2332147587298348</v>
      </c>
      <c r="D142" s="17" cm="1">
        <f t="array" ref="D142">INDEX(Sheet1!$Q:$Q,267-$A142)</f>
        <v>8.7762801220997277E-2</v>
      </c>
      <c r="E142" s="17">
        <f t="shared" si="16"/>
        <v>0.21801488420192724</v>
      </c>
      <c r="F142" s="17">
        <f t="shared" si="17"/>
        <v>2.0151998745279074</v>
      </c>
      <c r="G142" s="17">
        <f t="shared" si="18"/>
        <v>2.4512296429317622</v>
      </c>
      <c r="H142" s="17">
        <f t="shared" si="19"/>
        <v>2.0151998745279074</v>
      </c>
      <c r="I142">
        <f t="shared" si="20"/>
        <v>135</v>
      </c>
      <c r="J142" s="17">
        <f t="shared" si="21"/>
        <v>2.0151998745279074</v>
      </c>
      <c r="K142" s="17">
        <f t="shared" si="22"/>
        <v>2.2332147587298348</v>
      </c>
      <c r="L142" s="17">
        <f t="shared" si="23"/>
        <v>2.4512296429317622</v>
      </c>
    </row>
    <row r="143" spans="1:12" x14ac:dyDescent="0.25">
      <c r="A143">
        <v>136</v>
      </c>
      <c r="B143" t="str" cm="1">
        <f t="array" ref="B143">INDEX(Sheet1!$A:$A,267-$A143)</f>
        <v>L1U5H06</v>
      </c>
      <c r="C143" s="17" cm="1">
        <f t="array" ref="C143">INDEX(Sheet1!$K:$K,267-$A143)</f>
        <v>2.253157737968674</v>
      </c>
      <c r="D143" s="17" cm="1">
        <f t="array" ref="D143">INDEX(Sheet1!$Q:$Q,267-$A143)</f>
        <v>0.38887449939394714</v>
      </c>
      <c r="E143" s="17">
        <f t="shared" si="16"/>
        <v>0.96601780908253498</v>
      </c>
      <c r="F143" s="17">
        <f t="shared" si="17"/>
        <v>1.2871399288861389</v>
      </c>
      <c r="G143" s="17">
        <f t="shared" si="18"/>
        <v>3.2191755470512091</v>
      </c>
      <c r="H143" s="17">
        <f t="shared" si="19"/>
        <v>1.2871399288861389</v>
      </c>
      <c r="I143">
        <f t="shared" si="20"/>
        <v>136</v>
      </c>
      <c r="J143" s="17">
        <f t="shared" si="21"/>
        <v>1.2871399288861389</v>
      </c>
      <c r="K143" s="17">
        <f t="shared" si="22"/>
        <v>2.253157737968674</v>
      </c>
      <c r="L143" s="17">
        <f t="shared" si="23"/>
        <v>3.2191755470512091</v>
      </c>
    </row>
    <row r="144" spans="1:12" x14ac:dyDescent="0.25">
      <c r="A144">
        <v>137</v>
      </c>
      <c r="B144" t="str" cm="1">
        <f t="array" ref="B144">INDEX(Sheet1!$A:$A,267-$A144)</f>
        <v>L1U2H02</v>
      </c>
      <c r="C144" s="17" cm="1">
        <f t="array" ref="C144">INDEX(Sheet1!$K:$K,267-$A144)</f>
        <v>2.2953929658866317</v>
      </c>
      <c r="D144" s="17" cm="1">
        <f t="array" ref="D144">INDEX(Sheet1!$Q:$Q,267-$A144)</f>
        <v>0.58093403317021397</v>
      </c>
      <c r="E144" s="17">
        <f t="shared" si="16"/>
        <v>1.4431201398373457</v>
      </c>
      <c r="F144" s="17">
        <f t="shared" si="17"/>
        <v>0.852272826049286</v>
      </c>
      <c r="G144" s="17">
        <f t="shared" si="18"/>
        <v>3.7385131057239773</v>
      </c>
      <c r="H144" s="17">
        <f t="shared" si="19"/>
        <v>0.852272826049286</v>
      </c>
      <c r="I144">
        <f t="shared" si="20"/>
        <v>137</v>
      </c>
      <c r="J144" s="17">
        <f t="shared" si="21"/>
        <v>0.852272826049286</v>
      </c>
      <c r="K144" s="17">
        <f t="shared" si="22"/>
        <v>2.2953929658866317</v>
      </c>
      <c r="L144" s="17">
        <f t="shared" si="23"/>
        <v>3.7385131057239773</v>
      </c>
    </row>
    <row r="145" spans="1:12" x14ac:dyDescent="0.25">
      <c r="A145">
        <v>138</v>
      </c>
      <c r="B145" t="str" cm="1">
        <f t="array" ref="B145">INDEX(Sheet1!$A:$A,267-$A145)</f>
        <v>L1U5H04</v>
      </c>
      <c r="C145" s="17" cm="1">
        <f t="array" ref="C145">INDEX(Sheet1!$K:$K,267-$A145)</f>
        <v>2.3241908910460545</v>
      </c>
      <c r="D145" s="17" cm="1">
        <f t="array" ref="D145">INDEX(Sheet1!$Q:$Q,267-$A145)</f>
        <v>0</v>
      </c>
      <c r="E145" s="17">
        <f t="shared" si="16"/>
        <v>0</v>
      </c>
      <c r="F145" s="17">
        <f t="shared" si="17"/>
        <v>2.3241908910460545</v>
      </c>
      <c r="G145" s="17">
        <f t="shared" si="18"/>
        <v>2.3241908910460545</v>
      </c>
      <c r="H145" s="17">
        <f t="shared" si="19"/>
        <v>2.3241908910460545</v>
      </c>
      <c r="I145">
        <f t="shared" si="20"/>
        <v>138</v>
      </c>
      <c r="J145" s="17">
        <f t="shared" si="21"/>
        <v>2.3241908910460545</v>
      </c>
      <c r="K145" s="17">
        <f t="shared" si="22"/>
        <v>2.3241908910460545</v>
      </c>
      <c r="L145" s="17">
        <f t="shared" si="23"/>
        <v>2.3241908910460545</v>
      </c>
    </row>
    <row r="146" spans="1:12" x14ac:dyDescent="0.25">
      <c r="A146">
        <v>139</v>
      </c>
      <c r="B146" t="str" cm="1">
        <f t="array" ref="B146">INDEX(Sheet1!$A:$A,267-$A146)</f>
        <v>L1U2H11</v>
      </c>
      <c r="C146" s="17" cm="1">
        <f t="array" ref="C146">INDEX(Sheet1!$K:$K,267-$A146)</f>
        <v>2.3367598999608559</v>
      </c>
      <c r="D146" s="17" cm="1">
        <f t="array" ref="D146">INDEX(Sheet1!$Q:$Q,267-$A146)</f>
        <v>0.91548876833517956</v>
      </c>
      <c r="E146" s="17">
        <f t="shared" si="16"/>
        <v>2.2742001741052809</v>
      </c>
      <c r="F146" s="17">
        <f t="shared" si="17"/>
        <v>6.255972585557501E-2</v>
      </c>
      <c r="G146" s="17">
        <f t="shared" si="18"/>
        <v>4.6109600740661367</v>
      </c>
      <c r="H146" s="17">
        <f t="shared" si="19"/>
        <v>0.23367598999608558</v>
      </c>
      <c r="I146">
        <f t="shared" si="20"/>
        <v>139</v>
      </c>
      <c r="J146" s="17">
        <f t="shared" si="21"/>
        <v>0.23367598999608558</v>
      </c>
      <c r="K146" s="17">
        <f t="shared" si="22"/>
        <v>2.3367598999608559</v>
      </c>
      <c r="L146" s="17">
        <f t="shared" si="23"/>
        <v>4.6109600740661367</v>
      </c>
    </row>
    <row r="147" spans="1:12" x14ac:dyDescent="0.25">
      <c r="A147">
        <v>140</v>
      </c>
      <c r="B147" t="str" cm="1">
        <f t="array" ref="B147">INDEX(Sheet1!$A:$A,267-$A147)</f>
        <v>L1U5H08</v>
      </c>
      <c r="C147" s="17" cm="1">
        <f t="array" ref="C147">INDEX(Sheet1!$K:$K,267-$A147)</f>
        <v>2.337764406501365</v>
      </c>
      <c r="D147" s="17" cm="1">
        <f t="array" ref="D147">INDEX(Sheet1!$Q:$Q,267-$A147)</f>
        <v>0.46378344789238241</v>
      </c>
      <c r="E147" s="17">
        <f t="shared" si="16"/>
        <v>1.1521019529950614</v>
      </c>
      <c r="F147" s="17">
        <f t="shared" si="17"/>
        <v>1.1856624535063036</v>
      </c>
      <c r="G147" s="17">
        <f t="shared" si="18"/>
        <v>3.4898663594964265</v>
      </c>
      <c r="H147" s="17">
        <f t="shared" si="19"/>
        <v>1.1856624535063036</v>
      </c>
      <c r="I147">
        <f t="shared" si="20"/>
        <v>140</v>
      </c>
      <c r="J147" s="17">
        <f t="shared" si="21"/>
        <v>1.1856624535063036</v>
      </c>
      <c r="K147" s="17">
        <f t="shared" si="22"/>
        <v>2.337764406501365</v>
      </c>
      <c r="L147" s="17">
        <f t="shared" si="23"/>
        <v>3.4898663594964265</v>
      </c>
    </row>
    <row r="148" spans="1:12" x14ac:dyDescent="0.25">
      <c r="A148">
        <v>141</v>
      </c>
      <c r="B148" t="str" cm="1">
        <f t="array" ref="B148">INDEX(Sheet1!$A:$A,267-$A148)</f>
        <v>L2U3H09</v>
      </c>
      <c r="C148" s="17" cm="1">
        <f t="array" ref="C148">INDEX(Sheet1!$K:$K,267-$A148)</f>
        <v>2.3492463349629755</v>
      </c>
      <c r="D148" s="17" cm="1">
        <f t="array" ref="D148">INDEX(Sheet1!$Q:$Q,267-$A148)</f>
        <v>1.0265066676489689</v>
      </c>
      <c r="E148" s="17">
        <f t="shared" si="16"/>
        <v>2.549983924469966</v>
      </c>
      <c r="F148" s="17">
        <f t="shared" si="17"/>
        <v>-0.2007375895069905</v>
      </c>
      <c r="G148" s="17">
        <f t="shared" si="18"/>
        <v>4.899230259432942</v>
      </c>
      <c r="H148" s="17">
        <f t="shared" si="19"/>
        <v>0.23492463349629755</v>
      </c>
      <c r="I148">
        <f t="shared" si="20"/>
        <v>141</v>
      </c>
      <c r="J148" s="17">
        <f t="shared" si="21"/>
        <v>0.23492463349629755</v>
      </c>
      <c r="K148" s="17">
        <f t="shared" si="22"/>
        <v>2.3492463349629755</v>
      </c>
      <c r="L148" s="17">
        <f t="shared" si="23"/>
        <v>4.899230259432942</v>
      </c>
    </row>
    <row r="149" spans="1:12" x14ac:dyDescent="0.25">
      <c r="A149">
        <v>142</v>
      </c>
      <c r="B149" t="str" cm="1">
        <f t="array" ref="B149">INDEX(Sheet1!$A:$A,267-$A149)</f>
        <v>L2U4H10</v>
      </c>
      <c r="C149" s="17" cm="1">
        <f t="array" ref="C149">INDEX(Sheet1!$K:$K,267-$A149)</f>
        <v>2.3613702944186024</v>
      </c>
      <c r="D149" s="17" cm="1">
        <f t="array" ref="D149">INDEX(Sheet1!$Q:$Q,267-$A149)</f>
        <v>0</v>
      </c>
      <c r="E149" s="17">
        <f t="shared" si="16"/>
        <v>0</v>
      </c>
      <c r="F149" s="17">
        <f t="shared" si="17"/>
        <v>2.3613702944186024</v>
      </c>
      <c r="G149" s="17">
        <f t="shared" si="18"/>
        <v>2.3613702944186024</v>
      </c>
      <c r="H149" s="17">
        <f t="shared" si="19"/>
        <v>2.3613702944186024</v>
      </c>
      <c r="I149">
        <f t="shared" si="20"/>
        <v>142</v>
      </c>
      <c r="J149" s="17">
        <f t="shared" si="21"/>
        <v>2.3613702944186024</v>
      </c>
      <c r="K149" s="17">
        <f t="shared" si="22"/>
        <v>2.3613702944186024</v>
      </c>
      <c r="L149" s="17">
        <f t="shared" si="23"/>
        <v>2.3613702944186024</v>
      </c>
    </row>
    <row r="150" spans="1:12" x14ac:dyDescent="0.25">
      <c r="A150">
        <v>143</v>
      </c>
      <c r="B150" t="str" cm="1">
        <f t="array" ref="B150">INDEX(Sheet1!$A:$A,267-$A150)</f>
        <v>L1U2H07</v>
      </c>
      <c r="C150" s="17" cm="1">
        <f t="array" ref="C150">INDEX(Sheet1!$K:$K,267-$A150)</f>
        <v>2.3707800812309281</v>
      </c>
      <c r="D150" s="17" cm="1">
        <f t="array" ref="D150">INDEX(Sheet1!$Q:$Q,267-$A150)</f>
        <v>0.71995905922352554</v>
      </c>
      <c r="E150" s="17">
        <f t="shared" si="16"/>
        <v>1.788477449933449</v>
      </c>
      <c r="F150" s="17">
        <f t="shared" si="17"/>
        <v>0.58230263129747906</v>
      </c>
      <c r="G150" s="17">
        <f t="shared" si="18"/>
        <v>4.1592575311643767</v>
      </c>
      <c r="H150" s="17">
        <f t="shared" si="19"/>
        <v>0.58230263129747906</v>
      </c>
      <c r="I150">
        <f t="shared" si="20"/>
        <v>143</v>
      </c>
      <c r="J150" s="17">
        <f t="shared" si="21"/>
        <v>0.58230263129747906</v>
      </c>
      <c r="K150" s="17">
        <f t="shared" si="22"/>
        <v>2.3707800812309281</v>
      </c>
      <c r="L150" s="17">
        <f t="shared" si="23"/>
        <v>4.1592575311643767</v>
      </c>
    </row>
    <row r="151" spans="1:12" x14ac:dyDescent="0.25">
      <c r="A151">
        <v>144</v>
      </c>
      <c r="B151" t="str" cm="1">
        <f t="array" ref="B151">INDEX(Sheet1!$A:$A,267-$A151)</f>
        <v>L2U4H12</v>
      </c>
      <c r="C151" s="17" cm="1">
        <f t="array" ref="C151">INDEX(Sheet1!$K:$K,267-$A151)</f>
        <v>2.4168784817710716</v>
      </c>
      <c r="D151" s="17" cm="1">
        <f t="array" ref="D151">INDEX(Sheet1!$Q:$Q,267-$A151)</f>
        <v>0.88729473815538473</v>
      </c>
      <c r="E151" s="17">
        <f t="shared" si="16"/>
        <v>2.2041623204894258</v>
      </c>
      <c r="F151" s="17">
        <f t="shared" si="17"/>
        <v>0.21271616128164572</v>
      </c>
      <c r="G151" s="17">
        <f t="shared" si="18"/>
        <v>4.621040802260497</v>
      </c>
      <c r="H151" s="17">
        <f t="shared" si="19"/>
        <v>0.24168784817710715</v>
      </c>
      <c r="I151">
        <f t="shared" si="20"/>
        <v>144</v>
      </c>
      <c r="J151" s="17">
        <f t="shared" si="21"/>
        <v>0.24168784817710715</v>
      </c>
      <c r="K151" s="17">
        <f t="shared" si="22"/>
        <v>2.4168784817710716</v>
      </c>
      <c r="L151" s="17">
        <f t="shared" si="23"/>
        <v>4.621040802260497</v>
      </c>
    </row>
    <row r="152" spans="1:12" x14ac:dyDescent="0.25">
      <c r="A152">
        <v>145</v>
      </c>
      <c r="B152" t="str" cm="1">
        <f t="array" ref="B152">INDEX(Sheet1!$A:$A,267-$A152)</f>
        <v>L2U2H11</v>
      </c>
      <c r="C152" s="17" cm="1">
        <f t="array" ref="C152">INDEX(Sheet1!$K:$K,267-$A152)</f>
        <v>2.4309608739453763</v>
      </c>
      <c r="D152" s="17" cm="1">
        <f t="array" ref="D152">INDEX(Sheet1!$Q:$Q,267-$A152)</f>
        <v>1.1892881389329997</v>
      </c>
      <c r="E152" s="17">
        <f t="shared" si="16"/>
        <v>2.9543555160608306</v>
      </c>
      <c r="F152" s="17">
        <f t="shared" si="17"/>
        <v>-0.52339464211545428</v>
      </c>
      <c r="G152" s="17">
        <f t="shared" si="18"/>
        <v>5.3853163900062064</v>
      </c>
      <c r="H152" s="17">
        <f t="shared" si="19"/>
        <v>0.24309608739453764</v>
      </c>
      <c r="I152">
        <f t="shared" si="20"/>
        <v>145</v>
      </c>
      <c r="J152" s="17">
        <f t="shared" si="21"/>
        <v>0.24309608739453764</v>
      </c>
      <c r="K152" s="17">
        <f t="shared" si="22"/>
        <v>2.4309608739453763</v>
      </c>
      <c r="L152" s="17">
        <f t="shared" si="23"/>
        <v>5.3853163900062064</v>
      </c>
    </row>
    <row r="153" spans="1:12" x14ac:dyDescent="0.25">
      <c r="A153">
        <v>146</v>
      </c>
      <c r="B153" t="str" cm="1">
        <f t="array" ref="B153">INDEX(Sheet1!$A:$A,267-$A153)</f>
        <v>L1U5H01</v>
      </c>
      <c r="C153" s="17" cm="1">
        <f t="array" ref="C153">INDEX(Sheet1!$K:$K,267-$A153)</f>
        <v>2.4863184424932787</v>
      </c>
      <c r="D153" s="17" cm="1">
        <f t="array" ref="D153">INDEX(Sheet1!$Q:$Q,267-$A153)</f>
        <v>3.6018786945965768E-2</v>
      </c>
      <c r="E153" s="17">
        <f t="shared" si="16"/>
        <v>8.9475626983974071E-2</v>
      </c>
      <c r="F153" s="17">
        <f t="shared" si="17"/>
        <v>2.3968428155093044</v>
      </c>
      <c r="G153" s="17">
        <f t="shared" si="18"/>
        <v>2.575794069477253</v>
      </c>
      <c r="H153" s="17">
        <f t="shared" si="19"/>
        <v>2.3968428155093044</v>
      </c>
      <c r="I153">
        <f t="shared" si="20"/>
        <v>146</v>
      </c>
      <c r="J153" s="17">
        <f t="shared" si="21"/>
        <v>2.3968428155093044</v>
      </c>
      <c r="K153" s="17">
        <f t="shared" si="22"/>
        <v>2.4863184424932787</v>
      </c>
      <c r="L153" s="17">
        <f t="shared" si="23"/>
        <v>2.575794069477253</v>
      </c>
    </row>
    <row r="154" spans="1:12" x14ac:dyDescent="0.25">
      <c r="A154">
        <v>147</v>
      </c>
      <c r="B154" t="str" cm="1">
        <f t="array" ref="B154">INDEX(Sheet1!$A:$A,267-$A154)</f>
        <v>L1U1H09</v>
      </c>
      <c r="C154" s="17" cm="1">
        <f t="array" ref="C154">INDEX(Sheet1!$K:$K,267-$A154)</f>
        <v>2.5366162036007278</v>
      </c>
      <c r="D154" s="17" cm="1">
        <f t="array" ref="D154">INDEX(Sheet1!$Q:$Q,267-$A154)</f>
        <v>0.39988675348180702</v>
      </c>
      <c r="E154" s="17">
        <f t="shared" si="16"/>
        <v>0.99337376475356454</v>
      </c>
      <c r="F154" s="17">
        <f t="shared" si="17"/>
        <v>1.5432424388471633</v>
      </c>
      <c r="G154" s="17">
        <f t="shared" si="18"/>
        <v>3.5299899683542924</v>
      </c>
      <c r="H154" s="17">
        <f t="shared" si="19"/>
        <v>1.5432424388471633</v>
      </c>
      <c r="I154">
        <f t="shared" si="20"/>
        <v>147</v>
      </c>
      <c r="J154" s="17">
        <f t="shared" si="21"/>
        <v>1.5432424388471633</v>
      </c>
      <c r="K154" s="17">
        <f t="shared" si="22"/>
        <v>2.5366162036007278</v>
      </c>
      <c r="L154" s="17">
        <f t="shared" si="23"/>
        <v>3.5299899683542924</v>
      </c>
    </row>
    <row r="155" spans="1:12" x14ac:dyDescent="0.25">
      <c r="A155">
        <v>148</v>
      </c>
      <c r="B155" t="str" cm="1">
        <f t="array" ref="B155">INDEX(Sheet1!$A:$A,267-$A155)</f>
        <v>L2U2H12</v>
      </c>
      <c r="C155" s="17" cm="1">
        <f t="array" ref="C155">INDEX(Sheet1!$K:$K,267-$A155)</f>
        <v>2.5693447009055119</v>
      </c>
      <c r="D155" s="17" cm="1">
        <f t="array" ref="D155">INDEX(Sheet1!$Q:$Q,267-$A155)</f>
        <v>1.0369964005570673</v>
      </c>
      <c r="E155" s="17">
        <f t="shared" si="16"/>
        <v>2.5760418655731616</v>
      </c>
      <c r="F155" s="17">
        <f t="shared" si="17"/>
        <v>-6.697164667649691E-3</v>
      </c>
      <c r="G155" s="17">
        <f t="shared" si="18"/>
        <v>5.145386566478674</v>
      </c>
      <c r="H155" s="17">
        <f t="shared" si="19"/>
        <v>0.2569344700905512</v>
      </c>
      <c r="I155">
        <f t="shared" si="20"/>
        <v>148</v>
      </c>
      <c r="J155" s="17">
        <f t="shared" si="21"/>
        <v>0.2569344700905512</v>
      </c>
      <c r="K155" s="17">
        <f t="shared" si="22"/>
        <v>2.5693447009055119</v>
      </c>
      <c r="L155" s="17">
        <f t="shared" si="23"/>
        <v>5.145386566478674</v>
      </c>
    </row>
    <row r="156" spans="1:12" x14ac:dyDescent="0.25">
      <c r="A156">
        <v>149</v>
      </c>
      <c r="B156" t="str" cm="1">
        <f t="array" ref="B156">INDEX(Sheet1!$A:$A,267-$A156)</f>
        <v>L1U5H09</v>
      </c>
      <c r="C156" s="17" cm="1">
        <f t="array" ref="C156">INDEX(Sheet1!$K:$K,267-$A156)</f>
        <v>2.5788505355524318</v>
      </c>
      <c r="D156" s="17" cm="1">
        <f t="array" ref="D156">INDEX(Sheet1!$Q:$Q,267-$A156)</f>
        <v>0.35084836377574702</v>
      </c>
      <c r="E156" s="17">
        <f t="shared" si="16"/>
        <v>0.8715556515612316</v>
      </c>
      <c r="F156" s="17">
        <f t="shared" si="17"/>
        <v>1.7072948839912003</v>
      </c>
      <c r="G156" s="17">
        <f t="shared" si="18"/>
        <v>3.4504061871136633</v>
      </c>
      <c r="H156" s="17">
        <f t="shared" si="19"/>
        <v>1.7072948839912003</v>
      </c>
      <c r="I156">
        <f t="shared" si="20"/>
        <v>149</v>
      </c>
      <c r="J156" s="17">
        <f t="shared" si="21"/>
        <v>1.7072948839912003</v>
      </c>
      <c r="K156" s="17">
        <f t="shared" si="22"/>
        <v>2.5788505355524318</v>
      </c>
      <c r="L156" s="17">
        <f t="shared" si="23"/>
        <v>3.4504061871136633</v>
      </c>
    </row>
    <row r="157" spans="1:12" x14ac:dyDescent="0.25">
      <c r="A157">
        <v>150</v>
      </c>
      <c r="B157" t="str" cm="1">
        <f t="array" ref="B157">INDEX(Sheet1!$A:$A,267-$A157)</f>
        <v>L2U7H09</v>
      </c>
      <c r="C157" s="17" cm="1">
        <f t="array" ref="C157">INDEX(Sheet1!$K:$K,267-$A157)</f>
        <v>2.6124639297842629</v>
      </c>
      <c r="D157" s="17" cm="1">
        <f t="array" ref="D157">INDEX(Sheet1!$Q:$Q,267-$A157)</f>
        <v>1.0972794917552482</v>
      </c>
      <c r="E157" s="17">
        <f t="shared" si="16"/>
        <v>2.7257933657994475</v>
      </c>
      <c r="F157" s="17">
        <f t="shared" si="17"/>
        <v>-0.11332943601518464</v>
      </c>
      <c r="G157" s="17">
        <f t="shared" si="18"/>
        <v>5.3382572955837109</v>
      </c>
      <c r="H157" s="17">
        <f t="shared" si="19"/>
        <v>0.26124639297842628</v>
      </c>
      <c r="I157">
        <f t="shared" si="20"/>
        <v>150</v>
      </c>
      <c r="J157" s="17">
        <f t="shared" si="21"/>
        <v>0.26124639297842628</v>
      </c>
      <c r="K157" s="17">
        <f t="shared" si="22"/>
        <v>2.6124639297842629</v>
      </c>
      <c r="L157" s="17">
        <f t="shared" si="23"/>
        <v>5.3382572955837109</v>
      </c>
    </row>
    <row r="158" spans="1:12" x14ac:dyDescent="0.25">
      <c r="A158">
        <v>151</v>
      </c>
      <c r="B158" t="str" cm="1">
        <f t="array" ref="B158">INDEX(Sheet1!$A:$A,267-$A158)</f>
        <v>L1U2H04</v>
      </c>
      <c r="C158" s="17" cm="1">
        <f t="array" ref="C158">INDEX(Sheet1!$K:$K,267-$A158)</f>
        <v>2.6357100866167111</v>
      </c>
      <c r="D158" s="17" cm="1">
        <f t="array" ref="D158">INDEX(Sheet1!$Q:$Q,267-$A158)</f>
        <v>0.56223418022019656</v>
      </c>
      <c r="E158" s="17">
        <f t="shared" si="16"/>
        <v>1.3966671299200217</v>
      </c>
      <c r="F158" s="17">
        <f t="shared" si="17"/>
        <v>1.2390429566966894</v>
      </c>
      <c r="G158" s="17">
        <f t="shared" si="18"/>
        <v>4.0323772165367329</v>
      </c>
      <c r="H158" s="17">
        <f t="shared" si="19"/>
        <v>1.2390429566966894</v>
      </c>
      <c r="I158">
        <f t="shared" si="20"/>
        <v>151</v>
      </c>
      <c r="J158" s="17">
        <f t="shared" si="21"/>
        <v>1.2390429566966894</v>
      </c>
      <c r="K158" s="17">
        <f t="shared" si="22"/>
        <v>2.6357100866167111</v>
      </c>
      <c r="L158" s="17">
        <f t="shared" si="23"/>
        <v>4.0323772165367329</v>
      </c>
    </row>
    <row r="159" spans="1:12" x14ac:dyDescent="0.25">
      <c r="A159">
        <v>152</v>
      </c>
      <c r="B159" t="str" cm="1">
        <f t="array" ref="B159">INDEX(Sheet1!$A:$A,267-$A159)</f>
        <v>L1U5H07</v>
      </c>
      <c r="C159" s="17" cm="1">
        <f t="array" ref="C159">INDEX(Sheet1!$K:$K,267-$A159)</f>
        <v>2.651169936609322</v>
      </c>
      <c r="D159" s="17" cm="1">
        <f t="array" ref="D159">INDEX(Sheet1!$Q:$Q,267-$A159)</f>
        <v>0.41405235731314916</v>
      </c>
      <c r="E159" s="17">
        <f t="shared" si="16"/>
        <v>1.0285630754407165</v>
      </c>
      <c r="F159" s="17">
        <f t="shared" si="17"/>
        <v>1.6226068611686055</v>
      </c>
      <c r="G159" s="17">
        <f t="shared" si="18"/>
        <v>3.6797330120500384</v>
      </c>
      <c r="H159" s="17">
        <f t="shared" si="19"/>
        <v>1.6226068611686055</v>
      </c>
      <c r="I159">
        <f t="shared" si="20"/>
        <v>152</v>
      </c>
      <c r="J159" s="17">
        <f t="shared" si="21"/>
        <v>1.6226068611686055</v>
      </c>
      <c r="K159" s="17">
        <f t="shared" si="22"/>
        <v>2.651169936609322</v>
      </c>
      <c r="L159" s="17">
        <f t="shared" si="23"/>
        <v>3.6797330120500384</v>
      </c>
    </row>
    <row r="160" spans="1:12" x14ac:dyDescent="0.25">
      <c r="A160">
        <v>153</v>
      </c>
      <c r="B160" t="str" cm="1">
        <f t="array" ref="B160">INDEX(Sheet1!$A:$A,267-$A160)</f>
        <v>L1U2H01</v>
      </c>
      <c r="C160" s="17" cm="1">
        <f t="array" ref="C160">INDEX(Sheet1!$K:$K,267-$A160)</f>
        <v>2.7090360478190036</v>
      </c>
      <c r="D160" s="17" cm="1">
        <f t="array" ref="D160">INDEX(Sheet1!$Q:$Q,267-$A160)</f>
        <v>0</v>
      </c>
      <c r="E160" s="17">
        <f t="shared" si="16"/>
        <v>0</v>
      </c>
      <c r="F160" s="17">
        <f t="shared" si="17"/>
        <v>2.7090360478190036</v>
      </c>
      <c r="G160" s="17">
        <f t="shared" si="18"/>
        <v>2.7090360478190036</v>
      </c>
      <c r="H160" s="17">
        <f t="shared" si="19"/>
        <v>2.7090360478190036</v>
      </c>
      <c r="I160">
        <f t="shared" si="20"/>
        <v>153</v>
      </c>
      <c r="J160" s="17">
        <f t="shared" si="21"/>
        <v>2.7090360478190036</v>
      </c>
      <c r="K160" s="17">
        <f t="shared" si="22"/>
        <v>2.7090360478190036</v>
      </c>
      <c r="L160" s="17">
        <f t="shared" si="23"/>
        <v>2.7090360478190036</v>
      </c>
    </row>
    <row r="161" spans="1:12" x14ac:dyDescent="0.25">
      <c r="A161">
        <v>154</v>
      </c>
      <c r="B161" t="str" cm="1">
        <f t="array" ref="B161">INDEX(Sheet1!$A:$A,267-$A161)</f>
        <v>L1U5H02</v>
      </c>
      <c r="C161" s="17" cm="1">
        <f t="array" ref="C161">INDEX(Sheet1!$K:$K,267-$A161)</f>
        <v>2.7512349613127491</v>
      </c>
      <c r="D161" s="17" cm="1">
        <f t="array" ref="D161">INDEX(Sheet1!$Q:$Q,267-$A161)</f>
        <v>0.37995880609187954</v>
      </c>
      <c r="E161" s="17">
        <f t="shared" si="16"/>
        <v>0.94386999912446901</v>
      </c>
      <c r="F161" s="17">
        <f t="shared" si="17"/>
        <v>1.8073649621882801</v>
      </c>
      <c r="G161" s="17">
        <f t="shared" si="18"/>
        <v>3.6951049604372184</v>
      </c>
      <c r="H161" s="17">
        <f t="shared" si="19"/>
        <v>1.8073649621882801</v>
      </c>
      <c r="I161">
        <f t="shared" si="20"/>
        <v>154</v>
      </c>
      <c r="J161" s="17">
        <f t="shared" si="21"/>
        <v>1.8073649621882801</v>
      </c>
      <c r="K161" s="17">
        <f t="shared" si="22"/>
        <v>2.7512349613127491</v>
      </c>
      <c r="L161" s="17">
        <f t="shared" si="23"/>
        <v>3.6951049604372184</v>
      </c>
    </row>
    <row r="162" spans="1:12" x14ac:dyDescent="0.25">
      <c r="A162">
        <v>155</v>
      </c>
      <c r="B162" t="str" cm="1">
        <f t="array" ref="B162">INDEX(Sheet1!$A:$A,267-$A162)</f>
        <v>L2U7H06</v>
      </c>
      <c r="C162" s="17" cm="1">
        <f t="array" ref="C162">INDEX(Sheet1!$K:$K,267-$A162)</f>
        <v>2.7978274559990868</v>
      </c>
      <c r="D162" s="17" cm="1">
        <f t="array" ref="D162">INDEX(Sheet1!$Q:$Q,267-$A162)</f>
        <v>1.4433694353221243</v>
      </c>
      <c r="E162" s="17">
        <f t="shared" si="16"/>
        <v>3.5855284462714678</v>
      </c>
      <c r="F162" s="17">
        <f t="shared" si="17"/>
        <v>-0.78770099027238105</v>
      </c>
      <c r="G162" s="17">
        <f t="shared" si="18"/>
        <v>6.383355902270555</v>
      </c>
      <c r="H162" s="17">
        <f t="shared" si="19"/>
        <v>0.27978274559990868</v>
      </c>
      <c r="I162">
        <f t="shared" si="20"/>
        <v>155</v>
      </c>
      <c r="J162" s="17">
        <f t="shared" si="21"/>
        <v>0.27978274559990868</v>
      </c>
      <c r="K162" s="17">
        <f t="shared" si="22"/>
        <v>2.7978274559990868</v>
      </c>
      <c r="L162" s="17">
        <f t="shared" si="23"/>
        <v>6.383355902270555</v>
      </c>
    </row>
    <row r="163" spans="1:12" x14ac:dyDescent="0.25">
      <c r="A163">
        <v>156</v>
      </c>
      <c r="B163" t="str" cm="1">
        <f t="array" ref="B163">INDEX(Sheet1!$A:$A,267-$A163)</f>
        <v>L2U6H12</v>
      </c>
      <c r="C163" s="17" cm="1">
        <f t="array" ref="C163">INDEX(Sheet1!$K:$K,267-$A163)</f>
        <v>2.8181534794106224</v>
      </c>
      <c r="D163" s="17" cm="1">
        <f t="array" ref="D163">INDEX(Sheet1!$Q:$Q,267-$A163)</f>
        <v>1.1106491065800501</v>
      </c>
      <c r="E163" s="17">
        <f t="shared" si="16"/>
        <v>2.7590053301773141</v>
      </c>
      <c r="F163" s="17">
        <f t="shared" si="17"/>
        <v>5.9148149233308356E-2</v>
      </c>
      <c r="G163" s="17">
        <f t="shared" si="18"/>
        <v>5.577158809587937</v>
      </c>
      <c r="H163" s="17">
        <f t="shared" si="19"/>
        <v>0.28181534794106222</v>
      </c>
      <c r="I163">
        <f t="shared" si="20"/>
        <v>156</v>
      </c>
      <c r="J163" s="17">
        <f t="shared" si="21"/>
        <v>0.28181534794106222</v>
      </c>
      <c r="K163" s="17">
        <f t="shared" si="22"/>
        <v>2.8181534794106224</v>
      </c>
      <c r="L163" s="17">
        <f t="shared" si="23"/>
        <v>5.577158809587937</v>
      </c>
    </row>
    <row r="164" spans="1:12" x14ac:dyDescent="0.25">
      <c r="A164">
        <v>157</v>
      </c>
      <c r="B164" t="str" cm="1">
        <f t="array" ref="B164">INDEX(Sheet1!$A:$A,267-$A164)</f>
        <v>L1U3H07</v>
      </c>
      <c r="C164" s="17" cm="1">
        <f t="array" ref="C164">INDEX(Sheet1!$K:$K,267-$A164)</f>
        <v>2.9135824657592959</v>
      </c>
      <c r="D164" s="17" cm="1">
        <f t="array" ref="D164">INDEX(Sheet1!$Q:$Q,267-$A164)</f>
        <v>0.28766824500550842</v>
      </c>
      <c r="E164" s="17">
        <f t="shared" si="16"/>
        <v>0.71460753589121695</v>
      </c>
      <c r="F164" s="17">
        <f t="shared" si="17"/>
        <v>2.1989749298680792</v>
      </c>
      <c r="G164" s="17">
        <f t="shared" si="18"/>
        <v>3.6281900016505126</v>
      </c>
      <c r="H164" s="17">
        <f t="shared" si="19"/>
        <v>2.1989749298680792</v>
      </c>
      <c r="I164">
        <f t="shared" si="20"/>
        <v>157</v>
      </c>
      <c r="J164" s="17">
        <f t="shared" si="21"/>
        <v>2.1989749298680792</v>
      </c>
      <c r="K164" s="17">
        <f t="shared" si="22"/>
        <v>2.9135824657592959</v>
      </c>
      <c r="L164" s="17">
        <f t="shared" si="23"/>
        <v>3.6281900016505126</v>
      </c>
    </row>
    <row r="165" spans="1:12" x14ac:dyDescent="0.25">
      <c r="A165">
        <v>158</v>
      </c>
      <c r="B165" t="str" cm="1">
        <f t="array" ref="B165">INDEX(Sheet1!$A:$A,267-$A165)</f>
        <v>L2U1H04</v>
      </c>
      <c r="C165" s="17" cm="1">
        <f t="array" ref="C165">INDEX(Sheet1!$K:$K,267-$A165)</f>
        <v>3.0014545264590304</v>
      </c>
      <c r="D165" s="17" cm="1">
        <f t="array" ref="D165">INDEX(Sheet1!$Q:$Q,267-$A165)</f>
        <v>0.89719540494838235</v>
      </c>
      <c r="E165" s="17">
        <f t="shared" si="16"/>
        <v>2.2287569402413854</v>
      </c>
      <c r="F165" s="17">
        <f t="shared" si="17"/>
        <v>0.77269758621764506</v>
      </c>
      <c r="G165" s="17">
        <f t="shared" si="18"/>
        <v>5.2302114667004158</v>
      </c>
      <c r="H165" s="17">
        <f t="shared" si="19"/>
        <v>0.77269758621764506</v>
      </c>
      <c r="I165">
        <f t="shared" si="20"/>
        <v>158</v>
      </c>
      <c r="J165" s="17">
        <f t="shared" si="21"/>
        <v>0.77269758621764506</v>
      </c>
      <c r="K165" s="17">
        <f t="shared" si="22"/>
        <v>3.0014545264590304</v>
      </c>
      <c r="L165" s="17">
        <f t="shared" si="23"/>
        <v>5.2302114667004158</v>
      </c>
    </row>
    <row r="166" spans="1:12" x14ac:dyDescent="0.25">
      <c r="A166">
        <v>159</v>
      </c>
      <c r="B166" t="str" cm="1">
        <f t="array" ref="B166">INDEX(Sheet1!$A:$A,267-$A166)</f>
        <v>L2U4H09</v>
      </c>
      <c r="C166" s="17" cm="1">
        <f t="array" ref="C166">INDEX(Sheet1!$K:$K,267-$A166)</f>
        <v>3.0085410634448402</v>
      </c>
      <c r="D166" s="17" cm="1">
        <f t="array" ref="D166">INDEX(Sheet1!$Q:$Q,267-$A166)</f>
        <v>0.9855926254201185</v>
      </c>
      <c r="E166" s="17">
        <f t="shared" si="16"/>
        <v>2.4483478092291335</v>
      </c>
      <c r="F166" s="17">
        <f t="shared" si="17"/>
        <v>0.56019325421570665</v>
      </c>
      <c r="G166" s="17">
        <f t="shared" si="18"/>
        <v>5.4568888726739733</v>
      </c>
      <c r="H166" s="17">
        <f t="shared" si="19"/>
        <v>0.56019325421570665</v>
      </c>
      <c r="I166">
        <f t="shared" si="20"/>
        <v>159</v>
      </c>
      <c r="J166" s="17">
        <f t="shared" si="21"/>
        <v>0.56019325421570665</v>
      </c>
      <c r="K166" s="17">
        <f t="shared" si="22"/>
        <v>3.0085410634448402</v>
      </c>
      <c r="L166" s="17">
        <f t="shared" si="23"/>
        <v>5.4568888726739733</v>
      </c>
    </row>
    <row r="167" spans="1:12" x14ac:dyDescent="0.25">
      <c r="A167">
        <v>160</v>
      </c>
      <c r="B167" t="str" cm="1">
        <f t="array" ref="B167">INDEX(Sheet1!$A:$A,267-$A167)</f>
        <v>L1U5H03</v>
      </c>
      <c r="C167" s="17" cm="1">
        <f t="array" ref="C167">INDEX(Sheet1!$K:$K,267-$A167)</f>
        <v>3.0104088994450384</v>
      </c>
      <c r="D167" s="17" cm="1">
        <f t="array" ref="D167">INDEX(Sheet1!$Q:$Q,267-$A167)</f>
        <v>0.54819913301649581</v>
      </c>
      <c r="E167" s="17">
        <f t="shared" si="16"/>
        <v>1.3618021398751128</v>
      </c>
      <c r="F167" s="17">
        <f t="shared" si="17"/>
        <v>1.6486067595699256</v>
      </c>
      <c r="G167" s="17">
        <f t="shared" si="18"/>
        <v>4.3722110393201508</v>
      </c>
      <c r="H167" s="17">
        <f t="shared" si="19"/>
        <v>1.6486067595699256</v>
      </c>
      <c r="I167">
        <f t="shared" si="20"/>
        <v>160</v>
      </c>
      <c r="J167" s="17">
        <f t="shared" si="21"/>
        <v>1.6486067595699256</v>
      </c>
      <c r="K167" s="17">
        <f t="shared" si="22"/>
        <v>3.0104088994450384</v>
      </c>
      <c r="L167" s="17">
        <f t="shared" si="23"/>
        <v>4.3722110393201508</v>
      </c>
    </row>
    <row r="168" spans="1:12" x14ac:dyDescent="0.25">
      <c r="A168">
        <v>161</v>
      </c>
      <c r="B168" t="str" cm="1">
        <f t="array" ref="B168">INDEX(Sheet1!$A:$A,267-$A168)</f>
        <v>L1U2H03</v>
      </c>
      <c r="C168" s="17" cm="1">
        <f t="array" ref="C168">INDEX(Sheet1!$K:$K,267-$A168)</f>
        <v>3.1346450535766524</v>
      </c>
      <c r="D168" s="17" cm="1">
        <f t="array" ref="D168">INDEX(Sheet1!$Q:$Q,267-$A168)</f>
        <v>0.51092542005332253</v>
      </c>
      <c r="E168" s="17">
        <f t="shared" si="16"/>
        <v>1.2692091038463369</v>
      </c>
      <c r="F168" s="17">
        <f t="shared" si="17"/>
        <v>1.8654359497303155</v>
      </c>
      <c r="G168" s="17">
        <f t="shared" si="18"/>
        <v>4.4038541574229892</v>
      </c>
      <c r="H168" s="17">
        <f t="shared" si="19"/>
        <v>1.8654359497303155</v>
      </c>
      <c r="I168">
        <f t="shared" si="20"/>
        <v>161</v>
      </c>
      <c r="J168" s="17">
        <f t="shared" si="21"/>
        <v>1.8654359497303155</v>
      </c>
      <c r="K168" s="17">
        <f t="shared" si="22"/>
        <v>3.1346450535766524</v>
      </c>
      <c r="L168" s="17">
        <f t="shared" si="23"/>
        <v>4.4038541574229892</v>
      </c>
    </row>
    <row r="169" spans="1:12" x14ac:dyDescent="0.25">
      <c r="A169">
        <v>162</v>
      </c>
      <c r="B169" t="str" cm="1">
        <f t="array" ref="B169">INDEX(Sheet1!$A:$A,267-$A169)</f>
        <v>L2U1H11</v>
      </c>
      <c r="C169" s="17" cm="1">
        <f t="array" ref="C169">INDEX(Sheet1!$K:$K,267-$A169)</f>
        <v>3.2841715592652232</v>
      </c>
      <c r="D169" s="17" cm="1">
        <f t="array" ref="D169">INDEX(Sheet1!$Q:$Q,267-$A169)</f>
        <v>1.3173305994235887</v>
      </c>
      <c r="E169" s="17">
        <f t="shared" si="16"/>
        <v>3.2724306208708045</v>
      </c>
      <c r="F169" s="17">
        <f t="shared" si="17"/>
        <v>1.1740938394418698E-2</v>
      </c>
      <c r="G169" s="17">
        <f t="shared" si="18"/>
        <v>6.5566021801360277</v>
      </c>
      <c r="H169" s="17">
        <f t="shared" si="19"/>
        <v>0.32841715592652232</v>
      </c>
      <c r="I169">
        <f t="shared" si="20"/>
        <v>162</v>
      </c>
      <c r="J169" s="17">
        <f t="shared" si="21"/>
        <v>0.32841715592652232</v>
      </c>
      <c r="K169" s="17">
        <f t="shared" si="22"/>
        <v>3.2841715592652232</v>
      </c>
      <c r="L169" s="17">
        <f t="shared" si="23"/>
        <v>6.5566021801360277</v>
      </c>
    </row>
    <row r="170" spans="1:12" x14ac:dyDescent="0.25">
      <c r="A170">
        <v>163</v>
      </c>
      <c r="B170" t="str" cm="1">
        <f t="array" ref="B170">INDEX(Sheet1!$A:$A,267-$A170)</f>
        <v>L1U4H10</v>
      </c>
      <c r="C170" s="17" cm="1">
        <f t="array" ref="C170">INDEX(Sheet1!$K:$K,267-$A170)</f>
        <v>3.338250526651235</v>
      </c>
      <c r="D170" s="17" cm="1">
        <f t="array" ref="D170">INDEX(Sheet1!$Q:$Q,267-$A170)</f>
        <v>1.3023500009932815E-3</v>
      </c>
      <c r="E170" s="17">
        <f t="shared" si="16"/>
        <v>3.2352167513654902E-3</v>
      </c>
      <c r="F170" s="17">
        <f t="shared" si="17"/>
        <v>3.3350153098998696</v>
      </c>
      <c r="G170" s="17">
        <f t="shared" si="18"/>
        <v>3.3414857434026004</v>
      </c>
      <c r="H170" s="17">
        <f t="shared" si="19"/>
        <v>3.3350153098998696</v>
      </c>
      <c r="I170">
        <f t="shared" si="20"/>
        <v>163</v>
      </c>
      <c r="J170" s="17">
        <f t="shared" si="21"/>
        <v>3.3350153098998696</v>
      </c>
      <c r="K170" s="17">
        <f t="shared" si="22"/>
        <v>3.338250526651235</v>
      </c>
      <c r="L170" s="17">
        <f t="shared" si="23"/>
        <v>3.3414857434026004</v>
      </c>
    </row>
    <row r="171" spans="1:12" x14ac:dyDescent="0.25">
      <c r="A171">
        <v>164</v>
      </c>
      <c r="B171" t="str" cm="1">
        <f t="array" ref="B171">INDEX(Sheet1!$A:$A,267-$A171)</f>
        <v>L2U7H07</v>
      </c>
      <c r="C171" s="17" cm="1">
        <f t="array" ref="C171">INDEX(Sheet1!$K:$K,267-$A171)</f>
        <v>3.638694937794611</v>
      </c>
      <c r="D171" s="17" cm="1">
        <f t="array" ref="D171">INDEX(Sheet1!$Q:$Q,267-$A171)</f>
        <v>1.0361555020454534</v>
      </c>
      <c r="E171" s="17">
        <f t="shared" si="16"/>
        <v>2.5739529578687073</v>
      </c>
      <c r="F171" s="17">
        <f t="shared" si="17"/>
        <v>1.0647419799259037</v>
      </c>
      <c r="G171" s="17">
        <f t="shared" si="18"/>
        <v>6.2126478956633182</v>
      </c>
      <c r="H171" s="17">
        <f t="shared" si="19"/>
        <v>1.0647419799259037</v>
      </c>
      <c r="I171">
        <f t="shared" si="20"/>
        <v>164</v>
      </c>
      <c r="J171" s="17">
        <f t="shared" si="21"/>
        <v>1.0647419799259037</v>
      </c>
      <c r="K171" s="17">
        <f t="shared" si="22"/>
        <v>3.638694937794611</v>
      </c>
      <c r="L171" s="17">
        <f t="shared" si="23"/>
        <v>6.2126478956633182</v>
      </c>
    </row>
    <row r="172" spans="1:12" x14ac:dyDescent="0.25">
      <c r="A172">
        <v>165</v>
      </c>
      <c r="B172" t="str" cm="1">
        <f t="array" ref="B172">INDEX(Sheet1!$A:$A,267-$A172)</f>
        <v>L1U1H08</v>
      </c>
      <c r="C172" s="17" cm="1">
        <f t="array" ref="C172">INDEX(Sheet1!$K:$K,267-$A172)</f>
        <v>3.6391264384809401</v>
      </c>
      <c r="D172" s="17" cm="1">
        <f t="array" ref="D172">INDEX(Sheet1!$Q:$Q,267-$A172)</f>
        <v>0.72549462001213094</v>
      </c>
      <c r="E172" s="17">
        <f t="shared" si="16"/>
        <v>1.8022285452441102</v>
      </c>
      <c r="F172" s="17">
        <f t="shared" si="17"/>
        <v>1.8368978932368298</v>
      </c>
      <c r="G172" s="17">
        <f t="shared" si="18"/>
        <v>5.4413549837250503</v>
      </c>
      <c r="H172" s="17">
        <f t="shared" si="19"/>
        <v>1.8368978932368298</v>
      </c>
      <c r="I172">
        <f t="shared" si="20"/>
        <v>165</v>
      </c>
      <c r="J172" s="17">
        <f t="shared" si="21"/>
        <v>1.8368978932368298</v>
      </c>
      <c r="K172" s="17">
        <f t="shared" si="22"/>
        <v>3.6391264384809401</v>
      </c>
      <c r="L172" s="17">
        <f t="shared" si="23"/>
        <v>5.4413549837250503</v>
      </c>
    </row>
    <row r="173" spans="1:12" x14ac:dyDescent="0.25">
      <c r="A173">
        <v>166</v>
      </c>
      <c r="B173" t="str" cm="1">
        <f t="array" ref="B173">INDEX(Sheet1!$A:$A,267-$A173)</f>
        <v>L1U4H12</v>
      </c>
      <c r="C173" s="17" cm="1">
        <f t="array" ref="C173">INDEX(Sheet1!$K:$K,267-$A173)</f>
        <v>4.127342885215481</v>
      </c>
      <c r="D173" s="17" cm="1">
        <f t="array" ref="D173">INDEX(Sheet1!$Q:$Q,267-$A173)</f>
        <v>0.82203297322190727</v>
      </c>
      <c r="E173" s="17">
        <f t="shared" si="16"/>
        <v>2.0420431090827891</v>
      </c>
      <c r="F173" s="17">
        <f t="shared" si="17"/>
        <v>2.0852997761326919</v>
      </c>
      <c r="G173" s="17">
        <f t="shared" si="18"/>
        <v>6.1693859942982705</v>
      </c>
      <c r="H173" s="17">
        <f t="shared" si="19"/>
        <v>2.0852997761326919</v>
      </c>
      <c r="I173">
        <f t="shared" si="20"/>
        <v>166</v>
      </c>
      <c r="J173" s="17">
        <f t="shared" si="21"/>
        <v>2.0852997761326919</v>
      </c>
      <c r="K173" s="17">
        <f t="shared" si="22"/>
        <v>4.127342885215481</v>
      </c>
      <c r="L173" s="17">
        <f t="shared" si="23"/>
        <v>6.1693859942982705</v>
      </c>
    </row>
    <row r="174" spans="1:12" x14ac:dyDescent="0.25">
      <c r="A174">
        <v>167</v>
      </c>
      <c r="B174" t="str" cm="1">
        <f t="array" ref="B174">INDEX(Sheet1!$A:$A,267-$A174)</f>
        <v>L2U6H07</v>
      </c>
      <c r="C174" s="17" cm="1">
        <f t="array" ref="C174">INDEX(Sheet1!$K:$K,267-$A174)</f>
        <v>4.5220343617922731</v>
      </c>
      <c r="D174" s="17" cm="1">
        <f t="array" ref="D174">INDEX(Sheet1!$Q:$Q,267-$A174)</f>
        <v>2.187702687443795</v>
      </c>
      <c r="E174" s="17">
        <f t="shared" si="16"/>
        <v>5.4345547479766765</v>
      </c>
      <c r="F174" s="17">
        <f t="shared" si="17"/>
        <v>-0.91252038618440334</v>
      </c>
      <c r="G174" s="17">
        <f t="shared" si="18"/>
        <v>9.9565891097689487</v>
      </c>
      <c r="H174" s="17">
        <f t="shared" si="19"/>
        <v>0.45220343617922731</v>
      </c>
      <c r="I174">
        <f t="shared" si="20"/>
        <v>167</v>
      </c>
      <c r="J174" s="17">
        <f t="shared" si="21"/>
        <v>0.45220343617922731</v>
      </c>
      <c r="K174" s="17">
        <f t="shared" si="22"/>
        <v>4.5220343617922731</v>
      </c>
      <c r="L174" s="17">
        <f t="shared" si="23"/>
        <v>9.9565891097689487</v>
      </c>
    </row>
    <row r="175" spans="1:12" x14ac:dyDescent="0.25">
      <c r="A175">
        <v>168</v>
      </c>
      <c r="B175" t="str" cm="1">
        <f t="array" ref="B175">INDEX(Sheet1!$A:$A,267-$A175)</f>
        <v>L1U1H07</v>
      </c>
      <c r="C175" s="17" cm="1">
        <f t="array" ref="C175">INDEX(Sheet1!$K:$K,267-$A175)</f>
        <v>4.5642366958061569</v>
      </c>
      <c r="D175" s="17" cm="1">
        <f t="array" ref="D175">INDEX(Sheet1!$Q:$Q,267-$A175)</f>
        <v>0.64025868921889684</v>
      </c>
      <c r="E175" s="17">
        <f t="shared" si="16"/>
        <v>1.590490755164496</v>
      </c>
      <c r="F175" s="17">
        <f t="shared" si="17"/>
        <v>2.9737459406416606</v>
      </c>
      <c r="G175" s="17">
        <f t="shared" si="18"/>
        <v>6.1547274509706531</v>
      </c>
      <c r="H175" s="17">
        <f t="shared" si="19"/>
        <v>2.9737459406416606</v>
      </c>
      <c r="I175">
        <f t="shared" si="20"/>
        <v>168</v>
      </c>
      <c r="J175" s="17">
        <f t="shared" si="21"/>
        <v>2.9737459406416606</v>
      </c>
      <c r="K175" s="17">
        <f t="shared" si="22"/>
        <v>4.5642366958061569</v>
      </c>
      <c r="L175" s="17">
        <f t="shared" si="23"/>
        <v>6.1547274509706531</v>
      </c>
    </row>
    <row r="176" spans="1:12" x14ac:dyDescent="0.25">
      <c r="A176">
        <v>169</v>
      </c>
      <c r="B176" t="str" cm="1">
        <f t="array" ref="B176">INDEX(Sheet1!$A:$A,267-$A176)</f>
        <v>L2U2H06</v>
      </c>
      <c r="C176" s="17" cm="1">
        <f t="array" ref="C176">INDEX(Sheet1!$K:$K,267-$A176)</f>
        <v>4.8001225028257064</v>
      </c>
      <c r="D176" s="17" cm="1">
        <f t="array" ref="D176">INDEX(Sheet1!$Q:$Q,267-$A176)</f>
        <v>0.56313568192877039</v>
      </c>
      <c r="E176" s="17">
        <f t="shared" si="16"/>
        <v>1.3989065843114974</v>
      </c>
      <c r="F176" s="17">
        <f t="shared" si="17"/>
        <v>3.4012159185142092</v>
      </c>
      <c r="G176" s="17">
        <f t="shared" si="18"/>
        <v>6.1990290871372036</v>
      </c>
      <c r="H176" s="17">
        <f t="shared" si="19"/>
        <v>3.4012159185142092</v>
      </c>
      <c r="I176">
        <f t="shared" si="20"/>
        <v>169</v>
      </c>
      <c r="J176" s="17">
        <f t="shared" si="21"/>
        <v>3.4012159185142092</v>
      </c>
      <c r="K176" s="17">
        <f t="shared" si="22"/>
        <v>4.8001225028257064</v>
      </c>
      <c r="L176" s="17">
        <f t="shared" si="23"/>
        <v>6.1990290871372036</v>
      </c>
    </row>
    <row r="177" spans="1:12" x14ac:dyDescent="0.25">
      <c r="A177">
        <v>170</v>
      </c>
      <c r="B177" t="str" cm="1">
        <f t="array" ref="B177">INDEX(Sheet1!$A:$A,267-$A177)</f>
        <v>L2U6H09</v>
      </c>
      <c r="C177" s="17" cm="1">
        <f t="array" ref="C177">INDEX(Sheet1!$K:$K,267-$A177)</f>
        <v>4.8608550287630603</v>
      </c>
      <c r="D177" s="17" cm="1">
        <f t="array" ref="D177">INDEX(Sheet1!$Q:$Q,267-$A177)</f>
        <v>1.7966833894142693</v>
      </c>
      <c r="E177" s="17">
        <f t="shared" si="16"/>
        <v>4.4632089637193904</v>
      </c>
      <c r="F177" s="17">
        <f t="shared" si="17"/>
        <v>0.39764606504366995</v>
      </c>
      <c r="G177" s="17">
        <f t="shared" si="18"/>
        <v>9.3240639924824507</v>
      </c>
      <c r="H177" s="17">
        <f t="shared" si="19"/>
        <v>0.48608550287630603</v>
      </c>
      <c r="I177">
        <f t="shared" si="20"/>
        <v>170</v>
      </c>
      <c r="J177" s="17">
        <f t="shared" si="21"/>
        <v>0.48608550287630603</v>
      </c>
      <c r="K177" s="17">
        <f t="shared" si="22"/>
        <v>4.8608550287630603</v>
      </c>
      <c r="L177" s="17">
        <f t="shared" si="23"/>
        <v>9.3240639924824507</v>
      </c>
    </row>
    <row r="178" spans="1:12" x14ac:dyDescent="0.25">
      <c r="A178">
        <v>171</v>
      </c>
      <c r="B178" t="str" cm="1">
        <f t="array" ref="B178">INDEX(Sheet1!$A:$A,267-$A178)</f>
        <v>L2U2H09</v>
      </c>
      <c r="C178" s="17" cm="1">
        <f t="array" ref="C178">INDEX(Sheet1!$K:$K,267-$A178)</f>
        <v>5.3768784144317774</v>
      </c>
      <c r="D178" s="17" cm="1">
        <f t="array" ref="D178">INDEX(Sheet1!$Q:$Q,267-$A178)</f>
        <v>2.2785039932208058</v>
      </c>
      <c r="E178" s="17">
        <f t="shared" si="16"/>
        <v>5.6601176959335229</v>
      </c>
      <c r="F178" s="17">
        <f t="shared" si="17"/>
        <v>-0.28323928150174549</v>
      </c>
      <c r="G178" s="17">
        <f t="shared" si="18"/>
        <v>11.036996110365301</v>
      </c>
      <c r="H178" s="17">
        <f t="shared" si="19"/>
        <v>0.53768784144317772</v>
      </c>
      <c r="I178">
        <f t="shared" si="20"/>
        <v>171</v>
      </c>
      <c r="J178" s="17">
        <f t="shared" si="21"/>
        <v>0.53768784144317772</v>
      </c>
      <c r="K178" s="17">
        <f t="shared" si="22"/>
        <v>5.3768784144317774</v>
      </c>
      <c r="L178" s="17">
        <f t="shared" si="23"/>
        <v>11.036996110365301</v>
      </c>
    </row>
    <row r="179" spans="1:12" x14ac:dyDescent="0.25">
      <c r="A179">
        <v>172</v>
      </c>
      <c r="B179" t="str" cm="1">
        <f t="array" ref="B179">INDEX(Sheet1!$A:$A,267-$A179)</f>
        <v>L2U1H06</v>
      </c>
      <c r="C179" s="17" cm="1">
        <f t="array" ref="C179">INDEX(Sheet1!$K:$K,267-$A179)</f>
        <v>5.5393912041622508</v>
      </c>
      <c r="D179" s="17" cm="1">
        <f t="array" ref="D179">INDEX(Sheet1!$Q:$Q,267-$A179)</f>
        <v>2.765737527532115</v>
      </c>
      <c r="E179" s="17">
        <f t="shared" si="16"/>
        <v>6.870472892945644</v>
      </c>
      <c r="F179" s="17">
        <f t="shared" si="17"/>
        <v>-1.3310816887833932</v>
      </c>
      <c r="G179" s="17">
        <f t="shared" si="18"/>
        <v>12.409864097107896</v>
      </c>
      <c r="H179" s="17">
        <f t="shared" si="19"/>
        <v>0.55393912041622506</v>
      </c>
      <c r="I179">
        <f t="shared" si="20"/>
        <v>172</v>
      </c>
      <c r="J179" s="17">
        <f t="shared" si="21"/>
        <v>0.55393912041622506</v>
      </c>
      <c r="K179" s="17">
        <f t="shared" si="22"/>
        <v>5.5393912041622508</v>
      </c>
      <c r="L179" s="17">
        <f t="shared" si="23"/>
        <v>12.409864097107896</v>
      </c>
    </row>
    <row r="180" spans="1:12" x14ac:dyDescent="0.25">
      <c r="A180">
        <v>173</v>
      </c>
      <c r="B180" t="str" cm="1">
        <f t="array" ref="B180">INDEX(Sheet1!$A:$A,267-$A180)</f>
        <v>L2U6H06</v>
      </c>
      <c r="C180" s="17" cm="1">
        <f t="array" ref="C180">INDEX(Sheet1!$K:$K,267-$A180)</f>
        <v>5.7668801766329381</v>
      </c>
      <c r="D180" s="17" cm="1">
        <f t="array" ref="D180">INDEX(Sheet1!$Q:$Q,267-$A180)</f>
        <v>2.8583880865730538</v>
      </c>
      <c r="E180" s="17">
        <f t="shared" si="16"/>
        <v>7.1006296406739899</v>
      </c>
      <c r="F180" s="17">
        <f t="shared" si="17"/>
        <v>-1.3337494640410519</v>
      </c>
      <c r="G180" s="17">
        <f t="shared" si="18"/>
        <v>12.867509817306928</v>
      </c>
      <c r="H180" s="17">
        <f t="shared" si="19"/>
        <v>0.57668801766329381</v>
      </c>
      <c r="I180">
        <f t="shared" si="20"/>
        <v>173</v>
      </c>
      <c r="J180" s="17">
        <f t="shared" si="21"/>
        <v>0.57668801766329381</v>
      </c>
      <c r="K180" s="17">
        <f t="shared" si="22"/>
        <v>5.7668801766329381</v>
      </c>
      <c r="L180" s="17">
        <f t="shared" si="23"/>
        <v>12.867509817306928</v>
      </c>
    </row>
    <row r="181" spans="1:12" x14ac:dyDescent="0.25">
      <c r="A181">
        <v>174</v>
      </c>
      <c r="B181" t="str" cm="1">
        <f t="array" ref="B181">INDEX(Sheet1!$A:$A,267-$A181)</f>
        <v>L1U4H05</v>
      </c>
      <c r="C181" s="17" cm="1">
        <f t="array" ref="C181">INDEX(Sheet1!$K:$K,267-$A181)</f>
        <v>5.8356541642608155</v>
      </c>
      <c r="D181" s="17" cm="1">
        <f t="array" ref="D181">INDEX(Sheet1!$Q:$Q,267-$A181)</f>
        <v>0.43163351511783449</v>
      </c>
      <c r="E181" s="17">
        <f t="shared" si="16"/>
        <v>1.0722370925595688</v>
      </c>
      <c r="F181" s="17">
        <f t="shared" si="17"/>
        <v>4.7634170717012463</v>
      </c>
      <c r="G181" s="17">
        <f t="shared" si="18"/>
        <v>6.9078912568203847</v>
      </c>
      <c r="H181" s="17">
        <f t="shared" si="19"/>
        <v>4.7634170717012463</v>
      </c>
      <c r="I181">
        <f t="shared" si="20"/>
        <v>174</v>
      </c>
      <c r="J181" s="17">
        <f t="shared" si="21"/>
        <v>4.7634170717012463</v>
      </c>
      <c r="K181" s="17">
        <f t="shared" si="22"/>
        <v>5.8356541642608155</v>
      </c>
      <c r="L181" s="17">
        <f t="shared" si="23"/>
        <v>6.9078912568203847</v>
      </c>
    </row>
    <row r="182" spans="1:12" x14ac:dyDescent="0.25">
      <c r="A182">
        <v>175</v>
      </c>
      <c r="B182" t="str" cm="1">
        <f t="array" ref="B182">INDEX(Sheet1!$A:$A,267-$A182)</f>
        <v>L3S1P24</v>
      </c>
      <c r="C182" s="17" cm="1">
        <f t="array" ref="C182">INDEX(Sheet1!$K:$K,267-$A182)</f>
        <v>6.5732326873711333</v>
      </c>
      <c r="D182" s="17" cm="1">
        <f t="array" ref="D182">INDEX(Sheet1!$Q:$Q,267-$A182)</f>
        <v>0.5489671322372065</v>
      </c>
      <c r="E182" s="17">
        <f t="shared" si="16"/>
        <v>1.363709955701875</v>
      </c>
      <c r="F182" s="17">
        <f t="shared" si="17"/>
        <v>5.2095227316692583</v>
      </c>
      <c r="G182" s="17">
        <f t="shared" si="18"/>
        <v>7.9369426430730083</v>
      </c>
      <c r="H182" s="17">
        <f t="shared" si="19"/>
        <v>5.2095227316692583</v>
      </c>
      <c r="I182">
        <f t="shared" si="20"/>
        <v>175</v>
      </c>
      <c r="J182" s="17">
        <f t="shared" si="21"/>
        <v>5.2095227316692583</v>
      </c>
      <c r="K182" s="17">
        <f t="shared" si="22"/>
        <v>6.5732326873711333</v>
      </c>
      <c r="L182" s="17">
        <f t="shared" si="23"/>
        <v>7.9369426430730083</v>
      </c>
    </row>
    <row r="183" spans="1:12" x14ac:dyDescent="0.25">
      <c r="A183">
        <v>176</v>
      </c>
      <c r="B183" t="str" cm="1">
        <f t="array" ref="B183">INDEX(Sheet1!$A:$A,267-$A183)</f>
        <v>L1U4H09</v>
      </c>
      <c r="C183" s="17" cm="1">
        <f t="array" ref="C183">INDEX(Sheet1!$K:$K,267-$A183)</f>
        <v>6.6692134915204679</v>
      </c>
      <c r="D183" s="17" cm="1">
        <f t="array" ref="D183">INDEX(Sheet1!$Q:$Q,267-$A183)</f>
        <v>1.2651614112298126</v>
      </c>
      <c r="E183" s="17">
        <f t="shared" si="16"/>
        <v>3.1428351730872452</v>
      </c>
      <c r="F183" s="17">
        <f t="shared" si="17"/>
        <v>3.5263783184332227</v>
      </c>
      <c r="G183" s="17">
        <f t="shared" si="18"/>
        <v>9.8120486646077136</v>
      </c>
      <c r="H183" s="17">
        <f t="shared" si="19"/>
        <v>3.5263783184332227</v>
      </c>
      <c r="I183">
        <f t="shared" si="20"/>
        <v>176</v>
      </c>
      <c r="J183" s="17">
        <f t="shared" si="21"/>
        <v>3.5263783184332227</v>
      </c>
      <c r="K183" s="17">
        <f t="shared" si="22"/>
        <v>6.6692134915204679</v>
      </c>
      <c r="L183" s="17">
        <f t="shared" si="23"/>
        <v>9.8120486646077136</v>
      </c>
    </row>
    <row r="184" spans="1:12" x14ac:dyDescent="0.25">
      <c r="A184">
        <v>177</v>
      </c>
      <c r="B184" t="str" cm="1">
        <f t="array" ref="B184">INDEX(Sheet1!$A:$A,267-$A184)</f>
        <v>L1U4H04</v>
      </c>
      <c r="C184" s="17" cm="1">
        <f t="array" ref="C184">INDEX(Sheet1!$K:$K,267-$A184)</f>
        <v>7.6115996826087802</v>
      </c>
      <c r="D184" s="17" cm="1">
        <f t="array" ref="D184">INDEX(Sheet1!$Q:$Q,267-$A184)</f>
        <v>2.8884865536273807</v>
      </c>
      <c r="E184" s="17">
        <f t="shared" si="16"/>
        <v>7.1753983777495183</v>
      </c>
      <c r="F184" s="17">
        <f t="shared" si="17"/>
        <v>0.4362013048592619</v>
      </c>
      <c r="G184" s="17">
        <f t="shared" si="18"/>
        <v>14.786998060358298</v>
      </c>
      <c r="H184" s="17">
        <f t="shared" si="19"/>
        <v>0.76115996826087806</v>
      </c>
      <c r="I184">
        <f t="shared" si="20"/>
        <v>177</v>
      </c>
      <c r="J184" s="17">
        <f t="shared" si="21"/>
        <v>0.76115996826087806</v>
      </c>
      <c r="K184" s="17">
        <f t="shared" si="22"/>
        <v>7.6115996826087802</v>
      </c>
      <c r="L184" s="17">
        <f t="shared" si="23"/>
        <v>14.786998060358298</v>
      </c>
    </row>
    <row r="185" spans="1:12" x14ac:dyDescent="0.25">
      <c r="A185">
        <v>178</v>
      </c>
      <c r="B185" t="str" cm="1">
        <f t="array" ref="B185">INDEX(Sheet1!$A:$A,267-$A185)</f>
        <v>L1U4H03</v>
      </c>
      <c r="C185" s="17" cm="1">
        <f t="array" ref="C185">INDEX(Sheet1!$K:$K,267-$A185)</f>
        <v>7.6870357948391508</v>
      </c>
      <c r="D185" s="17" cm="1">
        <f t="array" ref="D185">INDEX(Sheet1!$Q:$Q,267-$A185)</f>
        <v>1.587035500762346</v>
      </c>
      <c r="E185" s="17">
        <f t="shared" si="16"/>
        <v>3.9424147373303136</v>
      </c>
      <c r="F185" s="17">
        <f t="shared" si="17"/>
        <v>3.7446210575088372</v>
      </c>
      <c r="G185" s="17">
        <f t="shared" si="18"/>
        <v>11.629450532169464</v>
      </c>
      <c r="H185" s="17">
        <f t="shared" si="19"/>
        <v>3.7446210575088372</v>
      </c>
      <c r="I185">
        <f t="shared" si="20"/>
        <v>178</v>
      </c>
      <c r="J185" s="17">
        <f t="shared" si="21"/>
        <v>3.7446210575088372</v>
      </c>
      <c r="K185" s="17">
        <f t="shared" si="22"/>
        <v>7.6870357948391508</v>
      </c>
      <c r="L185" s="17">
        <f t="shared" si="23"/>
        <v>11.629450532169464</v>
      </c>
    </row>
    <row r="186" spans="1:12" x14ac:dyDescent="0.25">
      <c r="A186">
        <v>179</v>
      </c>
      <c r="B186" t="str" cm="1">
        <f t="array" ref="B186">INDEX(Sheet1!$A:$A,267-$A186)</f>
        <v>L2U1H12</v>
      </c>
      <c r="C186" s="17" cm="1">
        <f t="array" ref="C186">INDEX(Sheet1!$K:$K,267-$A186)</f>
        <v>8.3195937623326266</v>
      </c>
      <c r="D186" s="17" cm="1">
        <f t="array" ref="D186">INDEX(Sheet1!$Q:$Q,267-$A186)</f>
        <v>1.1809476186052135</v>
      </c>
      <c r="E186" s="17">
        <f t="shared" si="16"/>
        <v>2.9336365149789567</v>
      </c>
      <c r="F186" s="17">
        <f t="shared" si="17"/>
        <v>5.3859572473536694</v>
      </c>
      <c r="G186" s="17">
        <f t="shared" si="18"/>
        <v>11.253230277311584</v>
      </c>
      <c r="H186" s="17">
        <f t="shared" si="19"/>
        <v>5.3859572473536694</v>
      </c>
      <c r="I186">
        <f t="shared" si="20"/>
        <v>179</v>
      </c>
      <c r="J186" s="17">
        <f t="shared" si="21"/>
        <v>5.3859572473536694</v>
      </c>
      <c r="K186" s="17">
        <f t="shared" si="22"/>
        <v>8.3195937623326266</v>
      </c>
      <c r="L186" s="17">
        <f t="shared" si="23"/>
        <v>11.253230277311584</v>
      </c>
    </row>
    <row r="187" spans="1:12" x14ac:dyDescent="0.25">
      <c r="A187">
        <v>180</v>
      </c>
      <c r="B187" t="str" cm="1">
        <f t="array" ref="B187">INDEX(Sheet1!$A:$A,267-$A187)</f>
        <v>L2U1H08</v>
      </c>
      <c r="C187" s="17" cm="1">
        <f t="array" ref="C187">INDEX(Sheet1!$K:$K,267-$A187)</f>
        <v>8.4291414771903028</v>
      </c>
      <c r="D187" s="17" cm="1">
        <f t="array" ref="D187">INDEX(Sheet1!$Q:$Q,267-$A187)</f>
        <v>3.2902172134914629</v>
      </c>
      <c r="E187" s="17">
        <f t="shared" si="16"/>
        <v>8.1733526598842303</v>
      </c>
      <c r="F187" s="17">
        <f t="shared" si="17"/>
        <v>0.2557888173060725</v>
      </c>
      <c r="G187" s="17">
        <f t="shared" si="18"/>
        <v>16.602494137074533</v>
      </c>
      <c r="H187" s="17">
        <f t="shared" si="19"/>
        <v>0.84291414771903028</v>
      </c>
      <c r="I187">
        <f t="shared" si="20"/>
        <v>180</v>
      </c>
      <c r="J187" s="17">
        <f t="shared" si="21"/>
        <v>0.84291414771903028</v>
      </c>
      <c r="K187" s="17">
        <f t="shared" si="22"/>
        <v>8.4291414771903028</v>
      </c>
      <c r="L187" s="17">
        <f t="shared" si="23"/>
        <v>16.602494137074533</v>
      </c>
    </row>
    <row r="188" spans="1:12" x14ac:dyDescent="0.25">
      <c r="A188">
        <v>181</v>
      </c>
      <c r="B188" t="str" cm="1">
        <f t="array" ref="B188">INDEX(Sheet1!$A:$A,267-$A188)</f>
        <v>L1U4H06</v>
      </c>
      <c r="C188" s="17" cm="1">
        <f t="array" ref="C188">INDEX(Sheet1!$K:$K,267-$A188)</f>
        <v>9.4176916011078777</v>
      </c>
      <c r="D188" s="17" cm="1">
        <f t="array" ref="D188">INDEX(Sheet1!$Q:$Q,267-$A188)</f>
        <v>1.9254813465302814</v>
      </c>
      <c r="E188" s="17">
        <f t="shared" si="16"/>
        <v>4.7831608261876779</v>
      </c>
      <c r="F188" s="17">
        <f t="shared" si="17"/>
        <v>4.6345307749201998</v>
      </c>
      <c r="G188" s="17">
        <f t="shared" si="18"/>
        <v>14.200852427295555</v>
      </c>
      <c r="H188" s="17">
        <f t="shared" si="19"/>
        <v>4.6345307749201998</v>
      </c>
      <c r="I188">
        <f t="shared" si="20"/>
        <v>181</v>
      </c>
      <c r="J188" s="17">
        <f t="shared" si="21"/>
        <v>4.6345307749201998</v>
      </c>
      <c r="K188" s="17">
        <f t="shared" si="22"/>
        <v>9.4176916011078777</v>
      </c>
      <c r="L188" s="17">
        <f t="shared" si="23"/>
        <v>14.200852427295555</v>
      </c>
    </row>
    <row r="189" spans="1:12" x14ac:dyDescent="0.25">
      <c r="A189">
        <v>182</v>
      </c>
      <c r="B189" t="str" cm="1">
        <f t="array" ref="B189">INDEX(Sheet1!$A:$A,267-$A189)</f>
        <v>L1U4H01</v>
      </c>
      <c r="C189" s="17" cm="1">
        <f t="array" ref="C189">INDEX(Sheet1!$K:$K,267-$A189)</f>
        <v>9.4254971318862193</v>
      </c>
      <c r="D189" s="17" cm="1">
        <f t="array" ref="D189">INDEX(Sheet1!$Q:$Q,267-$A189)</f>
        <v>1.2794918398119712</v>
      </c>
      <c r="E189" s="17">
        <f t="shared" si="16"/>
        <v>3.1784339311537302</v>
      </c>
      <c r="F189" s="17">
        <f t="shared" si="17"/>
        <v>6.2470632007324891</v>
      </c>
      <c r="G189" s="17">
        <f t="shared" si="18"/>
        <v>12.603931063039949</v>
      </c>
      <c r="H189" s="17">
        <f t="shared" si="19"/>
        <v>6.2470632007324891</v>
      </c>
      <c r="I189">
        <f t="shared" si="20"/>
        <v>182</v>
      </c>
      <c r="J189" s="17">
        <f t="shared" si="21"/>
        <v>6.2470632007324891</v>
      </c>
      <c r="K189" s="17">
        <f t="shared" si="22"/>
        <v>9.4254971318862193</v>
      </c>
      <c r="L189" s="17">
        <f t="shared" si="23"/>
        <v>12.603931063039949</v>
      </c>
    </row>
    <row r="190" spans="1:12" x14ac:dyDescent="0.25">
      <c r="A190">
        <v>183</v>
      </c>
      <c r="B190" t="str" cm="1">
        <f t="array" ref="B190">INDEX(Sheet1!$A:$A,267-$A190)</f>
        <v>L1U4H08</v>
      </c>
      <c r="C190" s="17" cm="1">
        <f t="array" ref="C190">INDEX(Sheet1!$K:$K,267-$A190)</f>
        <v>9.4483674874409047</v>
      </c>
      <c r="D190" s="17" cm="1">
        <f t="array" ref="D190">INDEX(Sheet1!$Q:$Q,267-$A190)</f>
        <v>1.9747543993965848</v>
      </c>
      <c r="E190" s="17">
        <f t="shared" si="16"/>
        <v>4.9055618749859295</v>
      </c>
      <c r="F190" s="17">
        <f t="shared" si="17"/>
        <v>4.5428056124549752</v>
      </c>
      <c r="G190" s="17">
        <f t="shared" si="18"/>
        <v>14.353929362426834</v>
      </c>
      <c r="H190" s="17">
        <f t="shared" si="19"/>
        <v>4.5428056124549752</v>
      </c>
      <c r="I190">
        <f t="shared" si="20"/>
        <v>183</v>
      </c>
      <c r="J190" s="17">
        <f t="shared" si="21"/>
        <v>4.5428056124549752</v>
      </c>
      <c r="K190" s="17">
        <f t="shared" si="22"/>
        <v>9.4483674874409047</v>
      </c>
      <c r="L190" s="17">
        <f t="shared" si="23"/>
        <v>14.353929362426834</v>
      </c>
    </row>
    <row r="191" spans="1:12" x14ac:dyDescent="0.25">
      <c r="A191">
        <v>184</v>
      </c>
      <c r="B191" t="str" cm="1">
        <f t="array" ref="B191">INDEX(Sheet1!$A:$A,267-$A191)</f>
        <v>L1U4H11</v>
      </c>
      <c r="C191" s="17" cm="1">
        <f t="array" ref="C191">INDEX(Sheet1!$K:$K,267-$A191)</f>
        <v>9.8690851219219748</v>
      </c>
      <c r="D191" s="17" cm="1">
        <f t="array" ref="D191">INDEX(Sheet1!$Q:$Q,267-$A191)</f>
        <v>1.3932637348050492</v>
      </c>
      <c r="E191" s="17">
        <f t="shared" si="16"/>
        <v>3.4610589860433336</v>
      </c>
      <c r="F191" s="17">
        <f t="shared" si="17"/>
        <v>6.4080261358786412</v>
      </c>
      <c r="G191" s="17">
        <f t="shared" si="18"/>
        <v>13.330144107965308</v>
      </c>
      <c r="H191" s="17">
        <f t="shared" si="19"/>
        <v>6.4080261358786412</v>
      </c>
      <c r="I191">
        <f t="shared" si="20"/>
        <v>184</v>
      </c>
      <c r="J191" s="17">
        <f t="shared" si="21"/>
        <v>6.4080261358786412</v>
      </c>
      <c r="K191" s="17">
        <f t="shared" si="22"/>
        <v>9.8690851219219748</v>
      </c>
      <c r="L191" s="17">
        <f t="shared" si="23"/>
        <v>13.330144107965308</v>
      </c>
    </row>
    <row r="192" spans="1:12" x14ac:dyDescent="0.25">
      <c r="A192">
        <v>185</v>
      </c>
      <c r="B192" t="str" cm="1">
        <f t="array" ref="B192">INDEX(Sheet1!$A:$A,267-$A192)</f>
        <v>L1U4H07</v>
      </c>
      <c r="C192" s="17" cm="1">
        <f t="array" ref="C192">INDEX(Sheet1!$K:$K,267-$A192)</f>
        <v>9.91156624902335</v>
      </c>
      <c r="D192" s="17" cm="1">
        <f t="array" ref="D192">INDEX(Sheet1!$Q:$Q,267-$A192)</f>
        <v>4.6840738991413113</v>
      </c>
      <c r="E192" s="17">
        <f t="shared" si="16"/>
        <v>11.635884617482343</v>
      </c>
      <c r="F192" s="17">
        <f t="shared" si="17"/>
        <v>-1.7243183684589933</v>
      </c>
      <c r="G192" s="17">
        <f t="shared" si="18"/>
        <v>21.547450866505692</v>
      </c>
      <c r="H192" s="17">
        <f t="shared" si="19"/>
        <v>0.99115662490233503</v>
      </c>
      <c r="I192">
        <f t="shared" si="20"/>
        <v>185</v>
      </c>
      <c r="J192" s="17">
        <f t="shared" si="21"/>
        <v>0.99115662490233503</v>
      </c>
      <c r="K192" s="17">
        <f t="shared" si="22"/>
        <v>9.91156624902335</v>
      </c>
      <c r="L192" s="17">
        <f t="shared" si="23"/>
        <v>21.547450866505692</v>
      </c>
    </row>
    <row r="193" spans="1:12" x14ac:dyDescent="0.25">
      <c r="A193">
        <v>186</v>
      </c>
      <c r="B193" t="str" cm="1">
        <f t="array" ref="B193">INDEX(Sheet1!$A:$A,267-$A193)</f>
        <v>L1U4H02</v>
      </c>
      <c r="C193" s="17" cm="1">
        <f t="array" ref="C193">INDEX(Sheet1!$K:$K,267-$A193)</f>
        <v>10.552919203314035</v>
      </c>
      <c r="D193" s="17" cm="1">
        <f t="array" ref="D193">INDEX(Sheet1!$Q:$Q,267-$A193)</f>
        <v>0.90425672101467192</v>
      </c>
      <c r="E193" s="17">
        <f t="shared" si="16"/>
        <v>2.2462982217762439</v>
      </c>
      <c r="F193" s="17">
        <f t="shared" si="17"/>
        <v>8.3066209815377903</v>
      </c>
      <c r="G193" s="17">
        <f t="shared" si="18"/>
        <v>12.79921742509028</v>
      </c>
      <c r="H193" s="17">
        <f t="shared" si="19"/>
        <v>8.3066209815377903</v>
      </c>
      <c r="I193">
        <f t="shared" si="20"/>
        <v>186</v>
      </c>
      <c r="J193" s="17">
        <f t="shared" si="21"/>
        <v>8.3066209815377903</v>
      </c>
      <c r="K193" s="17">
        <f t="shared" si="22"/>
        <v>10.552919203314035</v>
      </c>
      <c r="L193" s="17">
        <f t="shared" si="23"/>
        <v>12.79921742509028</v>
      </c>
    </row>
    <row r="194" spans="1:12" x14ac:dyDescent="0.25">
      <c r="A194">
        <v>187</v>
      </c>
      <c r="B194" t="str" cm="1">
        <f t="array" ref="B194">INDEX(Sheet1!$A:$A,267-$A194)</f>
        <v>L2U1H07</v>
      </c>
      <c r="C194" s="17" cm="1">
        <f t="array" ref="C194">INDEX(Sheet1!$K:$K,267-$A194)</f>
        <v>13.201303050911253</v>
      </c>
      <c r="D194" s="17" cm="1">
        <f t="array" ref="D194">INDEX(Sheet1!$Q:$Q,267-$A194)</f>
        <v>4.7548753013297436</v>
      </c>
      <c r="E194" s="17">
        <f t="shared" si="16"/>
        <v>11.81176505070343</v>
      </c>
      <c r="F194" s="17">
        <f t="shared" si="17"/>
        <v>1.389538000207823</v>
      </c>
      <c r="G194" s="17">
        <f t="shared" si="18"/>
        <v>25.013068101614685</v>
      </c>
      <c r="H194" s="17">
        <f t="shared" si="19"/>
        <v>1.389538000207823</v>
      </c>
      <c r="I194">
        <f t="shared" si="20"/>
        <v>187</v>
      </c>
      <c r="J194" s="17">
        <f t="shared" si="21"/>
        <v>1.389538000207823</v>
      </c>
      <c r="K194" s="17">
        <f t="shared" si="22"/>
        <v>13.201303050911253</v>
      </c>
      <c r="L194" s="17">
        <f t="shared" si="23"/>
        <v>25.013068101614685</v>
      </c>
    </row>
    <row r="195" spans="1:12" x14ac:dyDescent="0.25">
      <c r="A195">
        <v>188</v>
      </c>
      <c r="B195" t="str" cm="1">
        <f t="array" ref="B195">INDEX(Sheet1!$A:$A,267-$A195)</f>
        <v>L3S3P46</v>
      </c>
      <c r="C195" s="17" cm="1">
        <f t="array" ref="C195">INDEX(Sheet1!$K:$K,267-$A195)</f>
        <v>14.065605354171787</v>
      </c>
      <c r="D195" s="17" cm="1">
        <f t="array" ref="D195">INDEX(Sheet1!$Q:$Q,267-$A195)</f>
        <v>14.026097675790187</v>
      </c>
      <c r="E195" s="17">
        <f t="shared" si="16"/>
        <v>34.842758185124062</v>
      </c>
      <c r="F195" s="17">
        <f t="shared" si="17"/>
        <v>-20.777152830952275</v>
      </c>
      <c r="G195" s="17">
        <f t="shared" si="18"/>
        <v>48.908363539295848</v>
      </c>
      <c r="H195" s="17">
        <f t="shared" si="19"/>
        <v>1.4065605354171786</v>
      </c>
      <c r="I195">
        <f t="shared" si="20"/>
        <v>188</v>
      </c>
      <c r="J195" s="17">
        <f t="shared" si="21"/>
        <v>1.4065605354171786</v>
      </c>
      <c r="K195" s="17">
        <f t="shared" si="22"/>
        <v>14.065605354171787</v>
      </c>
      <c r="L195" s="17">
        <f t="shared" si="23"/>
        <v>48.908363539295848</v>
      </c>
    </row>
    <row r="196" spans="1:12" x14ac:dyDescent="0.25">
      <c r="A196">
        <v>189</v>
      </c>
      <c r="B196" t="str" cm="1">
        <f t="array" ref="B196">INDEX(Sheet1!$A:$A,267-$A196)</f>
        <v>L3S2P32</v>
      </c>
      <c r="C196" s="17" cm="1">
        <f t="array" ref="C196">INDEX(Sheet1!$K:$K,267-$A196)</f>
        <v>17.254737925349843</v>
      </c>
      <c r="D196" s="17" cm="1">
        <f t="array" ref="D196">INDEX(Sheet1!$Q:$Q,267-$A196)</f>
        <v>5.9232108215390298</v>
      </c>
      <c r="E196" s="17">
        <f t="shared" si="16"/>
        <v>14.714071376432758</v>
      </c>
      <c r="F196" s="17">
        <f t="shared" si="17"/>
        <v>2.5406665489170859</v>
      </c>
      <c r="G196" s="17">
        <f t="shared" si="18"/>
        <v>31.968809301782599</v>
      </c>
      <c r="H196" s="17">
        <f t="shared" si="19"/>
        <v>2.5406665489170859</v>
      </c>
      <c r="I196">
        <f t="shared" si="20"/>
        <v>189</v>
      </c>
      <c r="J196" s="17">
        <f t="shared" si="21"/>
        <v>2.5406665489170859</v>
      </c>
      <c r="K196" s="17">
        <f t="shared" si="22"/>
        <v>17.254737925349843</v>
      </c>
      <c r="L196" s="17">
        <f t="shared" si="23"/>
        <v>31.968809301782599</v>
      </c>
    </row>
    <row r="197" spans="1:12" x14ac:dyDescent="0.25">
      <c r="A197">
        <v>190</v>
      </c>
      <c r="B197" t="str" cm="1">
        <f t="array" ref="B197">INDEX(Sheet1!$A:$A,267-$A197)</f>
        <v>L3S1P25</v>
      </c>
      <c r="C197" s="17" cm="1">
        <f t="array" ref="C197">INDEX(Sheet1!$K:$K,267-$A197)</f>
        <v>19.405504289851635</v>
      </c>
      <c r="D197" s="17" cm="1">
        <f t="array" ref="D197">INDEX(Sheet1!$Q:$Q,267-$A197)</f>
        <v>2.6385053315547635</v>
      </c>
      <c r="E197" s="17">
        <f t="shared" si="16"/>
        <v>6.5544105967694959</v>
      </c>
      <c r="F197" s="17">
        <f t="shared" si="17"/>
        <v>12.851093693082138</v>
      </c>
      <c r="G197" s="17">
        <f t="shared" si="18"/>
        <v>25.959914886621132</v>
      </c>
      <c r="H197" s="17">
        <f t="shared" si="19"/>
        <v>12.851093693082138</v>
      </c>
      <c r="I197">
        <f t="shared" si="20"/>
        <v>190</v>
      </c>
      <c r="J197" s="17">
        <f t="shared" si="21"/>
        <v>12.851093693082138</v>
      </c>
      <c r="K197" s="17">
        <f t="shared" si="22"/>
        <v>19.405504289851635</v>
      </c>
      <c r="L197" s="17">
        <f t="shared" si="23"/>
        <v>25.959914886621132</v>
      </c>
    </row>
    <row r="198" spans="1:12" x14ac:dyDescent="0.25">
      <c r="A198">
        <v>191</v>
      </c>
      <c r="B198" t="str" cm="1">
        <f t="array" ref="B198">INDEX(Sheet1!$A:$A,267-$A198)</f>
        <v>L3S1P23</v>
      </c>
      <c r="C198" s="17" cm="1">
        <f t="array" ref="C198">INDEX(Sheet1!$K:$K,267-$A198)</f>
        <v>19.778328134996304</v>
      </c>
      <c r="D198" s="17" cm="1">
        <f t="array" ref="D198">INDEX(Sheet1!$Q:$Q,267-$A198)</f>
        <v>4.4661513912680117</v>
      </c>
      <c r="E198" s="17">
        <f t="shared" si="16"/>
        <v>11.094535097435072</v>
      </c>
      <c r="F198" s="17">
        <f t="shared" si="17"/>
        <v>8.683793037561232</v>
      </c>
      <c r="G198" s="17">
        <f t="shared" si="18"/>
        <v>30.872863232431378</v>
      </c>
      <c r="H198" s="17">
        <f t="shared" si="19"/>
        <v>8.683793037561232</v>
      </c>
      <c r="I198">
        <f t="shared" si="20"/>
        <v>191</v>
      </c>
      <c r="J198" s="17">
        <f t="shared" si="21"/>
        <v>8.683793037561232</v>
      </c>
      <c r="K198" s="17">
        <f t="shared" si="22"/>
        <v>19.778328134996304</v>
      </c>
      <c r="L198" s="17">
        <f t="shared" si="23"/>
        <v>30.872863232431378</v>
      </c>
    </row>
    <row r="199" spans="1:12" x14ac:dyDescent="0.25">
      <c r="A199">
        <v>192</v>
      </c>
      <c r="B199" t="str" cm="1">
        <f t="array" ref="B199">INDEX(Sheet1!$A:$A,267-$A199)</f>
        <v>L1U1H03</v>
      </c>
      <c r="C199" s="17" cm="1">
        <f t="array" ref="C199">INDEX(Sheet1!$K:$K,267-$A199)</f>
        <v>20.76498193446572</v>
      </c>
      <c r="D199" s="17" cm="1">
        <f t="array" ref="D199">INDEX(Sheet1!$Q:$Q,267-$A199)</f>
        <v>0</v>
      </c>
      <c r="E199" s="17">
        <f t="shared" si="16"/>
        <v>0</v>
      </c>
      <c r="F199" s="17">
        <f t="shared" si="17"/>
        <v>20.76498193446572</v>
      </c>
      <c r="G199" s="17">
        <f t="shared" si="18"/>
        <v>20.76498193446572</v>
      </c>
      <c r="H199" s="17">
        <f t="shared" si="19"/>
        <v>20.76498193446572</v>
      </c>
      <c r="I199">
        <f t="shared" si="20"/>
        <v>192</v>
      </c>
      <c r="J199" s="17">
        <f t="shared" si="21"/>
        <v>20.76498193446572</v>
      </c>
      <c r="K199" s="17">
        <f t="shared" si="22"/>
        <v>20.76498193446572</v>
      </c>
      <c r="L199" s="17">
        <f t="shared" si="23"/>
        <v>20.76498193446572</v>
      </c>
    </row>
    <row r="200" spans="1:12" x14ac:dyDescent="0.25">
      <c r="A200">
        <v>193</v>
      </c>
      <c r="B200" t="str" cm="1">
        <f t="array" ref="B200">INDEX(Sheet1!$A:$A,267-$A200)</f>
        <v>L1U1H11</v>
      </c>
      <c r="C200" s="17" cm="1">
        <f t="array" ref="C200">INDEX(Sheet1!$K:$K,267-$A200)</f>
        <v>23.976723092655075</v>
      </c>
      <c r="D200" s="17" cm="1">
        <f t="array" ref="D200">INDEX(Sheet1!$Q:$Q,267-$A200)</f>
        <v>9.0149084096672868E-2</v>
      </c>
      <c r="E200" s="17">
        <f t="shared" si="16"/>
        <v>0.22394273948429699</v>
      </c>
      <c r="F200" s="17">
        <f t="shared" si="17"/>
        <v>23.752780353170778</v>
      </c>
      <c r="G200" s="17">
        <f t="shared" si="18"/>
        <v>24.200665832139372</v>
      </c>
      <c r="H200" s="17">
        <f t="shared" si="19"/>
        <v>23.752780353170778</v>
      </c>
      <c r="I200">
        <f t="shared" si="20"/>
        <v>193</v>
      </c>
      <c r="J200" s="17">
        <f t="shared" si="21"/>
        <v>23.752780353170778</v>
      </c>
      <c r="K200" s="17">
        <f t="shared" si="22"/>
        <v>23.976723092655075</v>
      </c>
      <c r="L200" s="17">
        <f t="shared" si="23"/>
        <v>24.200665832139372</v>
      </c>
    </row>
    <row r="201" spans="1:12" x14ac:dyDescent="0.25">
      <c r="A201">
        <v>194</v>
      </c>
      <c r="B201" t="str" cm="1">
        <f t="array" ref="B201">INDEX(Sheet1!$A:$A,267-$A201)</f>
        <v>L3S1P35</v>
      </c>
      <c r="C201" s="17" cm="1">
        <f t="array" ref="C201">INDEX(Sheet1!$K:$K,267-$A201)</f>
        <v>25.167620794853914</v>
      </c>
      <c r="D201" s="17" cm="1">
        <f t="array" ref="D201">INDEX(Sheet1!$Q:$Q,267-$A201)</f>
        <v>3.960031733135053</v>
      </c>
      <c r="E201" s="17">
        <f t="shared" ref="E201:E264" si="24">$B$5*D201/SQRT($B$3)</f>
        <v>9.8372641680088044</v>
      </c>
      <c r="F201" s="17">
        <f t="shared" ref="F201:F264" si="25">C201-E201</f>
        <v>15.330356626845109</v>
      </c>
      <c r="G201" s="17">
        <f t="shared" ref="G201:G264" si="26">C201+E201</f>
        <v>35.004884962862718</v>
      </c>
      <c r="H201" s="17">
        <f t="shared" ref="H201:H264" si="27">MAX(F201,C201/10)</f>
        <v>15.330356626845109</v>
      </c>
      <c r="I201">
        <f t="shared" ref="I201:I264" si="28">A201</f>
        <v>194</v>
      </c>
      <c r="J201" s="17">
        <f t="shared" ref="J201:J264" si="29">H201</f>
        <v>15.330356626845109</v>
      </c>
      <c r="K201" s="17">
        <f t="shared" ref="K201:K264" si="30">C201</f>
        <v>25.167620794853914</v>
      </c>
      <c r="L201" s="17">
        <f t="shared" ref="L201:L264" si="31">G201</f>
        <v>35.004884962862718</v>
      </c>
    </row>
    <row r="202" spans="1:12" x14ac:dyDescent="0.25">
      <c r="A202">
        <v>195</v>
      </c>
      <c r="B202" t="str" cm="1">
        <f t="array" ref="B202">INDEX(Sheet1!$A:$A,267-$A202)</f>
        <v>L3S1P15</v>
      </c>
      <c r="C202" s="17" cm="1">
        <f t="array" ref="C202">INDEX(Sheet1!$K:$K,267-$A202)</f>
        <v>27.415156766808874</v>
      </c>
      <c r="D202" s="17" cm="1">
        <f t="array" ref="D202">INDEX(Sheet1!$Q:$Q,267-$A202)</f>
        <v>2.9079436879694316</v>
      </c>
      <c r="E202" s="17">
        <f t="shared" si="24"/>
        <v>7.2237325789311999</v>
      </c>
      <c r="F202" s="17">
        <f t="shared" si="25"/>
        <v>20.191424187877672</v>
      </c>
      <c r="G202" s="17">
        <f t="shared" si="26"/>
        <v>34.638889345740075</v>
      </c>
      <c r="H202" s="17">
        <f t="shared" si="27"/>
        <v>20.191424187877672</v>
      </c>
      <c r="I202">
        <f t="shared" si="28"/>
        <v>195</v>
      </c>
      <c r="J202" s="17">
        <f t="shared" si="29"/>
        <v>20.191424187877672</v>
      </c>
      <c r="K202" s="17">
        <f t="shared" si="30"/>
        <v>27.415156766808874</v>
      </c>
      <c r="L202" s="17">
        <f t="shared" si="31"/>
        <v>34.638889345740075</v>
      </c>
    </row>
    <row r="203" spans="1:12" x14ac:dyDescent="0.25">
      <c r="A203">
        <v>196</v>
      </c>
      <c r="B203" t="str" cm="1">
        <f t="array" ref="B203">INDEX(Sheet1!$A:$A,267-$A203)</f>
        <v>L2U1H09</v>
      </c>
      <c r="C203" s="17" cm="1">
        <f t="array" ref="C203">INDEX(Sheet1!$K:$K,267-$A203)</f>
        <v>28.701100817034714</v>
      </c>
      <c r="D203" s="17" cm="1">
        <f t="array" ref="D203">INDEX(Sheet1!$Q:$Q,267-$A203)</f>
        <v>9.4718318110259165</v>
      </c>
      <c r="E203" s="17">
        <f t="shared" si="24"/>
        <v>23.529334601125903</v>
      </c>
      <c r="F203" s="17">
        <f t="shared" si="25"/>
        <v>5.1717662159088107</v>
      </c>
      <c r="G203" s="17">
        <f t="shared" si="26"/>
        <v>52.230435418160617</v>
      </c>
      <c r="H203" s="17">
        <f t="shared" si="27"/>
        <v>5.1717662159088107</v>
      </c>
      <c r="I203">
        <f t="shared" si="28"/>
        <v>196</v>
      </c>
      <c r="J203" s="17">
        <f t="shared" si="29"/>
        <v>5.1717662159088107</v>
      </c>
      <c r="K203" s="17">
        <f t="shared" si="30"/>
        <v>28.701100817034714</v>
      </c>
      <c r="L203" s="17">
        <f t="shared" si="31"/>
        <v>52.230435418160617</v>
      </c>
    </row>
    <row r="204" spans="1:12" x14ac:dyDescent="0.25">
      <c r="A204">
        <v>197</v>
      </c>
      <c r="B204" t="str" cm="1">
        <f t="array" ref="B204">INDEX(Sheet1!$A:$A,267-$A204)</f>
        <v>L2U1H10</v>
      </c>
      <c r="C204" s="17" cm="1">
        <f t="array" ref="C204">INDEX(Sheet1!$K:$K,267-$A204)</f>
        <v>29.968838881382688</v>
      </c>
      <c r="D204" s="17" cm="1">
        <f t="array" ref="D204">INDEX(Sheet1!$Q:$Q,267-$A204)</f>
        <v>11.788244318096098</v>
      </c>
      <c r="E204" s="17">
        <f t="shared" si="24"/>
        <v>29.28362226590907</v>
      </c>
      <c r="F204" s="17">
        <f t="shared" si="25"/>
        <v>0.68521661547361745</v>
      </c>
      <c r="G204" s="17">
        <f t="shared" si="26"/>
        <v>59.252461147291754</v>
      </c>
      <c r="H204" s="17">
        <f t="shared" si="27"/>
        <v>2.9968838881382687</v>
      </c>
      <c r="I204">
        <f t="shared" si="28"/>
        <v>197</v>
      </c>
      <c r="J204" s="17">
        <f t="shared" si="29"/>
        <v>2.9968838881382687</v>
      </c>
      <c r="K204" s="17">
        <f t="shared" si="30"/>
        <v>29.968838881382688</v>
      </c>
      <c r="L204" s="17">
        <f t="shared" si="31"/>
        <v>59.252461147291754</v>
      </c>
    </row>
    <row r="205" spans="1:12" x14ac:dyDescent="0.25">
      <c r="A205">
        <v>198</v>
      </c>
      <c r="B205" t="str" cm="1">
        <f t="array" ref="B205">INDEX(Sheet1!$A:$A,267-$A205)</f>
        <v>L3S2P36</v>
      </c>
      <c r="C205" s="17" cm="1">
        <f t="array" ref="C205">INDEX(Sheet1!$K:$K,267-$A205)</f>
        <v>37.366487939031714</v>
      </c>
      <c r="D205" s="17" cm="1">
        <f t="array" ref="D205">INDEX(Sheet1!$Q:$Q,267-$A205)</f>
        <v>4.4206896017288049</v>
      </c>
      <c r="E205" s="17">
        <f t="shared" si="24"/>
        <v>10.981601751597072</v>
      </c>
      <c r="F205" s="17">
        <f t="shared" si="25"/>
        <v>26.384886187434642</v>
      </c>
      <c r="G205" s="17">
        <f t="shared" si="26"/>
        <v>48.348089690628782</v>
      </c>
      <c r="H205" s="17">
        <f t="shared" si="27"/>
        <v>26.384886187434642</v>
      </c>
      <c r="I205">
        <f t="shared" si="28"/>
        <v>198</v>
      </c>
      <c r="J205" s="17">
        <f t="shared" si="29"/>
        <v>26.384886187434642</v>
      </c>
      <c r="K205" s="17">
        <f t="shared" si="30"/>
        <v>37.366487939031714</v>
      </c>
      <c r="L205" s="17">
        <f t="shared" si="31"/>
        <v>48.348089690628782</v>
      </c>
    </row>
    <row r="206" spans="1:12" x14ac:dyDescent="0.25">
      <c r="A206">
        <v>199</v>
      </c>
      <c r="B206" t="str" cm="1">
        <f t="array" ref="B206">INDEX(Sheet1!$A:$A,267-$A206)</f>
        <v>L3S1P45</v>
      </c>
      <c r="C206" s="17" cm="1">
        <f t="array" ref="C206">INDEX(Sheet1!$K:$K,267-$A206)</f>
        <v>37.494567666647164</v>
      </c>
      <c r="D206" s="17" cm="1">
        <f t="array" ref="D206">INDEX(Sheet1!$Q:$Q,267-$A206)</f>
        <v>2.9810731432759092</v>
      </c>
      <c r="E206" s="17">
        <f t="shared" si="24"/>
        <v>7.4053962166977811</v>
      </c>
      <c r="F206" s="17">
        <f t="shared" si="25"/>
        <v>30.089171449949383</v>
      </c>
      <c r="G206" s="17">
        <f t="shared" si="26"/>
        <v>44.899963883344945</v>
      </c>
      <c r="H206" s="17">
        <f t="shared" si="27"/>
        <v>30.089171449949383</v>
      </c>
      <c r="I206">
        <f t="shared" si="28"/>
        <v>199</v>
      </c>
      <c r="J206" s="17">
        <f t="shared" si="29"/>
        <v>30.089171449949383</v>
      </c>
      <c r="K206" s="17">
        <f t="shared" si="30"/>
        <v>37.494567666647164</v>
      </c>
      <c r="L206" s="17">
        <f t="shared" si="31"/>
        <v>44.899963883344945</v>
      </c>
    </row>
    <row r="207" spans="1:12" x14ac:dyDescent="0.25">
      <c r="A207">
        <v>200</v>
      </c>
      <c r="B207" t="str" cm="1">
        <f t="array" ref="B207">INDEX(Sheet1!$A:$A,267-$A207)</f>
        <v>L3S1P33</v>
      </c>
      <c r="C207" s="17" cm="1">
        <f t="array" ref="C207">INDEX(Sheet1!$K:$K,267-$A207)</f>
        <v>37.906465163851209</v>
      </c>
      <c r="D207" s="17" cm="1">
        <f t="array" ref="D207">INDEX(Sheet1!$Q:$Q,267-$A207)</f>
        <v>1.9963684040070628</v>
      </c>
      <c r="E207" s="17">
        <f t="shared" si="24"/>
        <v>4.9592540389407631</v>
      </c>
      <c r="F207" s="17">
        <f t="shared" si="25"/>
        <v>32.947211124910446</v>
      </c>
      <c r="G207" s="17">
        <f t="shared" si="26"/>
        <v>42.865719202791972</v>
      </c>
      <c r="H207" s="17">
        <f t="shared" si="27"/>
        <v>32.947211124910446</v>
      </c>
      <c r="I207">
        <f t="shared" si="28"/>
        <v>200</v>
      </c>
      <c r="J207" s="17">
        <f t="shared" si="29"/>
        <v>32.947211124910446</v>
      </c>
      <c r="K207" s="17">
        <f t="shared" si="30"/>
        <v>37.906465163851209</v>
      </c>
      <c r="L207" s="17">
        <f t="shared" si="31"/>
        <v>42.865719202791972</v>
      </c>
    </row>
    <row r="208" spans="1:12" x14ac:dyDescent="0.25">
      <c r="A208">
        <v>201</v>
      </c>
      <c r="B208" t="str" cm="1">
        <f t="array" ref="B208">INDEX(Sheet1!$A:$A,267-$A208)</f>
        <v>L3S1P31</v>
      </c>
      <c r="C208" s="17" cm="1">
        <f t="array" ref="C208">INDEX(Sheet1!$K:$K,267-$A208)</f>
        <v>43.277874571283398</v>
      </c>
      <c r="D208" s="17" cm="1">
        <f t="array" ref="D208">INDEX(Sheet1!$Q:$Q,267-$A208)</f>
        <v>5.752182845601105</v>
      </c>
      <c r="E208" s="17">
        <f t="shared" si="24"/>
        <v>14.28921433164103</v>
      </c>
      <c r="F208" s="17">
        <f t="shared" si="25"/>
        <v>28.988660239642368</v>
      </c>
      <c r="G208" s="17">
        <f t="shared" si="26"/>
        <v>57.567088902924425</v>
      </c>
      <c r="H208" s="17">
        <f t="shared" si="27"/>
        <v>28.988660239642368</v>
      </c>
      <c r="I208">
        <f t="shared" si="28"/>
        <v>201</v>
      </c>
      <c r="J208" s="17">
        <f t="shared" si="29"/>
        <v>28.988660239642368</v>
      </c>
      <c r="K208" s="17">
        <f t="shared" si="30"/>
        <v>43.277874571283398</v>
      </c>
      <c r="L208" s="17">
        <f t="shared" si="31"/>
        <v>57.567088902924425</v>
      </c>
    </row>
    <row r="209" spans="1:12" x14ac:dyDescent="0.25">
      <c r="A209">
        <v>202</v>
      </c>
      <c r="B209" t="str" cm="1">
        <f t="array" ref="B209">INDEX(Sheet1!$A:$A,267-$A209)</f>
        <v>L3S2P46</v>
      </c>
      <c r="C209" s="17" cm="1">
        <f t="array" ref="C209">INDEX(Sheet1!$K:$K,267-$A209)</f>
        <v>44.874183440637765</v>
      </c>
      <c r="D209" s="17" cm="1">
        <f t="array" ref="D209">INDEX(Sheet1!$Q:$Q,267-$A209)</f>
        <v>3.4075178318044879</v>
      </c>
      <c r="E209" s="17">
        <f t="shared" si="24"/>
        <v>8.4647435494472472</v>
      </c>
      <c r="F209" s="17">
        <f t="shared" si="25"/>
        <v>36.409439891190516</v>
      </c>
      <c r="G209" s="17">
        <f t="shared" si="26"/>
        <v>53.338926990085014</v>
      </c>
      <c r="H209" s="17">
        <f t="shared" si="27"/>
        <v>36.409439891190516</v>
      </c>
      <c r="I209">
        <f t="shared" si="28"/>
        <v>202</v>
      </c>
      <c r="J209" s="17">
        <f t="shared" si="29"/>
        <v>36.409439891190516</v>
      </c>
      <c r="K209" s="17">
        <f t="shared" si="30"/>
        <v>44.874183440637765</v>
      </c>
      <c r="L209" s="17">
        <f t="shared" si="31"/>
        <v>53.338926990085014</v>
      </c>
    </row>
    <row r="210" spans="1:12" x14ac:dyDescent="0.25">
      <c r="A210">
        <v>203</v>
      </c>
      <c r="B210" t="str" cm="1">
        <f t="array" ref="B210">INDEX(Sheet1!$A:$A,267-$A210)</f>
        <v>L3S1P32</v>
      </c>
      <c r="C210" s="17" cm="1">
        <f t="array" ref="C210">INDEX(Sheet1!$K:$K,267-$A210)</f>
        <v>46.304860798381036</v>
      </c>
      <c r="D210" s="17" cm="1">
        <f t="array" ref="D210">INDEX(Sheet1!$Q:$Q,267-$A210)</f>
        <v>1.9328816927682759</v>
      </c>
      <c r="E210" s="17">
        <f t="shared" si="24"/>
        <v>4.8015443053574893</v>
      </c>
      <c r="F210" s="17">
        <f t="shared" si="25"/>
        <v>41.503316493023547</v>
      </c>
      <c r="G210" s="17">
        <f t="shared" si="26"/>
        <v>51.106405103738524</v>
      </c>
      <c r="H210" s="17">
        <f t="shared" si="27"/>
        <v>41.503316493023547</v>
      </c>
      <c r="I210">
        <f t="shared" si="28"/>
        <v>203</v>
      </c>
      <c r="J210" s="17">
        <f t="shared" si="29"/>
        <v>41.503316493023547</v>
      </c>
      <c r="K210" s="17">
        <f t="shared" si="30"/>
        <v>46.304860798381036</v>
      </c>
      <c r="L210" s="17">
        <f t="shared" si="31"/>
        <v>51.106405103738524</v>
      </c>
    </row>
    <row r="211" spans="1:12" x14ac:dyDescent="0.25">
      <c r="A211">
        <v>204</v>
      </c>
      <c r="B211" t="str" cm="1">
        <f t="array" ref="B211">INDEX(Sheet1!$A:$A,267-$A211)</f>
        <v>L3S2P37</v>
      </c>
      <c r="C211" s="17" cm="1">
        <f t="array" ref="C211">INDEX(Sheet1!$K:$K,267-$A211)</f>
        <v>47.50807077718418</v>
      </c>
      <c r="D211" s="17" cm="1">
        <f t="array" ref="D211">INDEX(Sheet1!$Q:$Q,267-$A211)</f>
        <v>9.3040271875341833</v>
      </c>
      <c r="E211" s="17">
        <f t="shared" si="24"/>
        <v>23.112484807704025</v>
      </c>
      <c r="F211" s="17">
        <f t="shared" si="25"/>
        <v>24.395585969480155</v>
      </c>
      <c r="G211" s="17">
        <f t="shared" si="26"/>
        <v>70.620555584888209</v>
      </c>
      <c r="H211" s="17">
        <f t="shared" si="27"/>
        <v>24.395585969480155</v>
      </c>
      <c r="I211">
        <f t="shared" si="28"/>
        <v>204</v>
      </c>
      <c r="J211" s="17">
        <f t="shared" si="29"/>
        <v>24.395585969480155</v>
      </c>
      <c r="K211" s="17">
        <f t="shared" si="30"/>
        <v>47.50807077718418</v>
      </c>
      <c r="L211" s="17">
        <f t="shared" si="31"/>
        <v>70.620555584888209</v>
      </c>
    </row>
    <row r="212" spans="1:12" x14ac:dyDescent="0.25">
      <c r="A212">
        <v>205</v>
      </c>
      <c r="B212" t="str" cm="1">
        <f t="array" ref="B212">INDEX(Sheet1!$A:$A,267-$A212)</f>
        <v>L3S3P37</v>
      </c>
      <c r="C212" s="17" cm="1">
        <f t="array" ref="C212">INDEX(Sheet1!$K:$K,267-$A212)</f>
        <v>48.699731708199657</v>
      </c>
      <c r="D212" s="17" cm="1">
        <f t="array" ref="D212">INDEX(Sheet1!$Q:$Q,267-$A212)</f>
        <v>10.619491140007725</v>
      </c>
      <c r="E212" s="17">
        <f t="shared" si="24"/>
        <v>26.380278420491695</v>
      </c>
      <c r="F212" s="17">
        <f t="shared" si="25"/>
        <v>22.319453287707962</v>
      </c>
      <c r="G212" s="17">
        <f t="shared" si="26"/>
        <v>75.080010128691356</v>
      </c>
      <c r="H212" s="17">
        <f t="shared" si="27"/>
        <v>22.319453287707962</v>
      </c>
      <c r="I212">
        <f t="shared" si="28"/>
        <v>205</v>
      </c>
      <c r="J212" s="17">
        <f t="shared" si="29"/>
        <v>22.319453287707962</v>
      </c>
      <c r="K212" s="17">
        <f t="shared" si="30"/>
        <v>48.699731708199657</v>
      </c>
      <c r="L212" s="17">
        <f t="shared" si="31"/>
        <v>75.080010128691356</v>
      </c>
    </row>
    <row r="213" spans="1:12" x14ac:dyDescent="0.25">
      <c r="A213">
        <v>206</v>
      </c>
      <c r="B213" t="str" cm="1">
        <f t="array" ref="B213">INDEX(Sheet1!$A:$A,267-$A213)</f>
        <v>L3S1P43</v>
      </c>
      <c r="C213" s="17" cm="1">
        <f t="array" ref="C213">INDEX(Sheet1!$K:$K,267-$A213)</f>
        <v>53.889973344933146</v>
      </c>
      <c r="D213" s="17" cm="1">
        <f t="array" ref="D213">INDEX(Sheet1!$Q:$Q,267-$A213)</f>
        <v>20.888083953866172</v>
      </c>
      <c r="E213" s="17">
        <f t="shared" si="24"/>
        <v>51.888877076005897</v>
      </c>
      <c r="F213" s="17">
        <f t="shared" si="25"/>
        <v>2.0010962689272489</v>
      </c>
      <c r="G213" s="17">
        <f t="shared" si="26"/>
        <v>105.77885042093905</v>
      </c>
      <c r="H213" s="17">
        <f t="shared" si="27"/>
        <v>5.3889973344933146</v>
      </c>
      <c r="I213">
        <f t="shared" si="28"/>
        <v>206</v>
      </c>
      <c r="J213" s="17">
        <f t="shared" si="29"/>
        <v>5.3889973344933146</v>
      </c>
      <c r="K213" s="17">
        <f t="shared" si="30"/>
        <v>53.889973344933146</v>
      </c>
      <c r="L213" s="17">
        <f t="shared" si="31"/>
        <v>105.77885042093905</v>
      </c>
    </row>
    <row r="214" spans="1:12" x14ac:dyDescent="0.25">
      <c r="A214">
        <v>207</v>
      </c>
      <c r="B214" t="str" cm="1">
        <f t="array" ref="B214">INDEX(Sheet1!$A:$A,267-$A214)</f>
        <v>L3S1P44</v>
      </c>
      <c r="C214" s="17" cm="1">
        <f t="array" ref="C214">INDEX(Sheet1!$K:$K,267-$A214)</f>
        <v>58.170578866504876</v>
      </c>
      <c r="D214" s="17" cm="1">
        <f t="array" ref="D214">INDEX(Sheet1!$Q:$Q,267-$A214)</f>
        <v>16.230723036562658</v>
      </c>
      <c r="E214" s="17">
        <f t="shared" si="24"/>
        <v>40.319351184100128</v>
      </c>
      <c r="F214" s="17">
        <f t="shared" si="25"/>
        <v>17.851227682404748</v>
      </c>
      <c r="G214" s="17">
        <f t="shared" si="26"/>
        <v>98.489930050605011</v>
      </c>
      <c r="H214" s="17">
        <f t="shared" si="27"/>
        <v>17.851227682404748</v>
      </c>
      <c r="I214">
        <f t="shared" si="28"/>
        <v>207</v>
      </c>
      <c r="J214" s="17">
        <f t="shared" si="29"/>
        <v>17.851227682404748</v>
      </c>
      <c r="K214" s="17">
        <f t="shared" si="30"/>
        <v>58.170578866504876</v>
      </c>
      <c r="L214" s="17">
        <f t="shared" si="31"/>
        <v>98.489930050605011</v>
      </c>
    </row>
    <row r="215" spans="1:12" x14ac:dyDescent="0.25">
      <c r="A215">
        <v>208</v>
      </c>
      <c r="B215" t="str" cm="1">
        <f t="array" ref="B215">INDEX(Sheet1!$A:$A,267-$A215)</f>
        <v>L3S3P32</v>
      </c>
      <c r="C215" s="17" cm="1">
        <f t="array" ref="C215">INDEX(Sheet1!$K:$K,267-$A215)</f>
        <v>61.330273414315677</v>
      </c>
      <c r="D215" s="17" cm="1">
        <f t="array" ref="D215">INDEX(Sheet1!$Q:$Q,267-$A215)</f>
        <v>0</v>
      </c>
      <c r="E215" s="17">
        <f t="shared" si="24"/>
        <v>0</v>
      </c>
      <c r="F215" s="17">
        <f t="shared" si="25"/>
        <v>61.330273414315677</v>
      </c>
      <c r="G215" s="17">
        <f t="shared" si="26"/>
        <v>61.330273414315677</v>
      </c>
      <c r="H215" s="17">
        <f t="shared" si="27"/>
        <v>61.330273414315677</v>
      </c>
      <c r="I215">
        <f t="shared" si="28"/>
        <v>208</v>
      </c>
      <c r="J215" s="17">
        <f t="shared" si="29"/>
        <v>61.330273414315677</v>
      </c>
      <c r="K215" s="17">
        <f t="shared" si="30"/>
        <v>61.330273414315677</v>
      </c>
      <c r="L215" s="17">
        <f t="shared" si="31"/>
        <v>61.330273414315677</v>
      </c>
    </row>
    <row r="216" spans="1:12" x14ac:dyDescent="0.25">
      <c r="A216">
        <v>209</v>
      </c>
      <c r="B216" t="str" cm="1">
        <f t="array" ref="B216">INDEX(Sheet1!$A:$A,267-$A216)</f>
        <v>L3S3P55</v>
      </c>
      <c r="C216" s="17" cm="1">
        <f t="array" ref="C216">INDEX(Sheet1!$K:$K,267-$A216)</f>
        <v>62.030032099889922</v>
      </c>
      <c r="D216" s="17" cm="1">
        <f t="array" ref="D216">INDEX(Sheet1!$Q:$Q,267-$A216)</f>
        <v>10.103049010769071</v>
      </c>
      <c r="E216" s="17">
        <f t="shared" si="24"/>
        <v>25.097365051313318</v>
      </c>
      <c r="F216" s="17">
        <f t="shared" si="25"/>
        <v>36.932667048576604</v>
      </c>
      <c r="G216" s="17">
        <f t="shared" si="26"/>
        <v>87.12739715120324</v>
      </c>
      <c r="H216" s="17">
        <f t="shared" si="27"/>
        <v>36.932667048576604</v>
      </c>
      <c r="I216">
        <f t="shared" si="28"/>
        <v>209</v>
      </c>
      <c r="J216" s="17">
        <f t="shared" si="29"/>
        <v>36.932667048576604</v>
      </c>
      <c r="K216" s="17">
        <f t="shared" si="30"/>
        <v>62.030032099889922</v>
      </c>
      <c r="L216" s="17">
        <f t="shared" si="31"/>
        <v>87.12739715120324</v>
      </c>
    </row>
    <row r="217" spans="1:12" x14ac:dyDescent="0.25">
      <c r="A217">
        <v>210</v>
      </c>
      <c r="B217" t="str" cm="1">
        <f t="array" ref="B217">INDEX(Sheet1!$A:$A,267-$A217)</f>
        <v>L3S2P33</v>
      </c>
      <c r="C217" s="17" cm="1">
        <f t="array" ref="C217">INDEX(Sheet1!$K:$K,267-$A217)</f>
        <v>65.954773869346738</v>
      </c>
      <c r="D217" s="17" cm="1">
        <f t="array" ref="D217">INDEX(Sheet1!$Q:$Q,267-$A217)</f>
        <v>0</v>
      </c>
      <c r="E217" s="17">
        <f t="shared" si="24"/>
        <v>0</v>
      </c>
      <c r="F217" s="17">
        <f t="shared" si="25"/>
        <v>65.954773869346738</v>
      </c>
      <c r="G217" s="17">
        <f t="shared" si="26"/>
        <v>65.954773869346738</v>
      </c>
      <c r="H217" s="17">
        <f t="shared" si="27"/>
        <v>65.954773869346738</v>
      </c>
      <c r="I217">
        <f t="shared" si="28"/>
        <v>210</v>
      </c>
      <c r="J217" s="17">
        <f t="shared" si="29"/>
        <v>65.954773869346738</v>
      </c>
      <c r="K217" s="17">
        <f t="shared" si="30"/>
        <v>65.954773869346738</v>
      </c>
      <c r="L217" s="17">
        <f t="shared" si="31"/>
        <v>65.954773869346738</v>
      </c>
    </row>
    <row r="218" spans="1:12" x14ac:dyDescent="0.25">
      <c r="A218">
        <v>211</v>
      </c>
      <c r="B218" t="str" cm="1">
        <f t="array" ref="B218">INDEX(Sheet1!$A:$A,267-$A218)</f>
        <v>L3S3P25</v>
      </c>
      <c r="C218" s="17" cm="1">
        <f t="array" ref="C218">INDEX(Sheet1!$K:$K,267-$A218)</f>
        <v>67.433193442487038</v>
      </c>
      <c r="D218" s="17" cm="1">
        <f t="array" ref="D218">INDEX(Sheet1!$Q:$Q,267-$A218)</f>
        <v>8.2962527873253737</v>
      </c>
      <c r="E218" s="17">
        <f t="shared" si="24"/>
        <v>20.60903441520875</v>
      </c>
      <c r="F218" s="17">
        <f t="shared" si="25"/>
        <v>46.824159027278284</v>
      </c>
      <c r="G218" s="17">
        <f t="shared" si="26"/>
        <v>88.042227857695792</v>
      </c>
      <c r="H218" s="17">
        <f t="shared" si="27"/>
        <v>46.824159027278284</v>
      </c>
      <c r="I218">
        <f t="shared" si="28"/>
        <v>211</v>
      </c>
      <c r="J218" s="17">
        <f t="shared" si="29"/>
        <v>46.824159027278284</v>
      </c>
      <c r="K218" s="17">
        <f t="shared" si="30"/>
        <v>67.433193442487038</v>
      </c>
      <c r="L218" s="17">
        <f t="shared" si="31"/>
        <v>88.042227857695792</v>
      </c>
    </row>
    <row r="219" spans="1:12" x14ac:dyDescent="0.25">
      <c r="A219">
        <v>212</v>
      </c>
      <c r="B219" t="str" cm="1">
        <f t="array" ref="B219">INDEX(Sheet1!$A:$A,267-$A219)</f>
        <v>L3S3P33</v>
      </c>
      <c r="C219" s="17" cm="1">
        <f t="array" ref="C219">INDEX(Sheet1!$K:$K,267-$A219)</f>
        <v>68.987384367991396</v>
      </c>
      <c r="D219" s="17" cm="1">
        <f t="array" ref="D219">INDEX(Sheet1!$Q:$Q,267-$A219)</f>
        <v>11.483689401332645</v>
      </c>
      <c r="E219" s="17">
        <f t="shared" si="24"/>
        <v>28.527065911877994</v>
      </c>
      <c r="F219" s="17">
        <f t="shared" si="25"/>
        <v>40.460318456113399</v>
      </c>
      <c r="G219" s="17">
        <f t="shared" si="26"/>
        <v>97.514450279869394</v>
      </c>
      <c r="H219" s="17">
        <f t="shared" si="27"/>
        <v>40.460318456113399</v>
      </c>
      <c r="I219">
        <f t="shared" si="28"/>
        <v>212</v>
      </c>
      <c r="J219" s="17">
        <f t="shared" si="29"/>
        <v>40.460318456113399</v>
      </c>
      <c r="K219" s="17">
        <f t="shared" si="30"/>
        <v>68.987384367991396</v>
      </c>
      <c r="L219" s="17">
        <f t="shared" si="31"/>
        <v>97.514450279869394</v>
      </c>
    </row>
    <row r="220" spans="1:12" x14ac:dyDescent="0.25">
      <c r="A220">
        <v>213</v>
      </c>
      <c r="B220" t="str" cm="1">
        <f t="array" ref="B220">INDEX(Sheet1!$A:$A,267-$A220)</f>
        <v>L3S2P34</v>
      </c>
      <c r="C220" s="17" cm="1">
        <f t="array" ref="C220">INDEX(Sheet1!$K:$K,267-$A220)</f>
        <v>72.200118546805015</v>
      </c>
      <c r="D220" s="17" cm="1">
        <f t="array" ref="D220">INDEX(Sheet1!$Q:$Q,267-$A220)</f>
        <v>8.9342508953068851</v>
      </c>
      <c r="E220" s="17">
        <f t="shared" si="24"/>
        <v>22.193909575270983</v>
      </c>
      <c r="F220" s="17">
        <f t="shared" si="25"/>
        <v>50.006208971534036</v>
      </c>
      <c r="G220" s="17">
        <f t="shared" si="26"/>
        <v>94.394028122075994</v>
      </c>
      <c r="H220" s="17">
        <f t="shared" si="27"/>
        <v>50.006208971534036</v>
      </c>
      <c r="I220">
        <f t="shared" si="28"/>
        <v>213</v>
      </c>
      <c r="J220" s="17">
        <f t="shared" si="29"/>
        <v>50.006208971534036</v>
      </c>
      <c r="K220" s="17">
        <f t="shared" si="30"/>
        <v>72.200118546805015</v>
      </c>
      <c r="L220" s="17">
        <f t="shared" si="31"/>
        <v>94.394028122075994</v>
      </c>
    </row>
    <row r="221" spans="1:12" x14ac:dyDescent="0.25">
      <c r="A221">
        <v>214</v>
      </c>
      <c r="B221" t="str" cm="1">
        <f t="array" ref="B221">INDEX(Sheet1!$A:$A,267-$A221)</f>
        <v>L3S1P34</v>
      </c>
      <c r="C221" s="17" cm="1">
        <f t="array" ref="C221">INDEX(Sheet1!$K:$K,267-$A221)</f>
        <v>77.603450451483297</v>
      </c>
      <c r="D221" s="17" cm="1">
        <f t="array" ref="D221">INDEX(Sheet1!$Q:$Q,267-$A221)</f>
        <v>5.6885678765009384</v>
      </c>
      <c r="E221" s="17">
        <f t="shared" si="24"/>
        <v>14.131185987867475</v>
      </c>
      <c r="F221" s="17">
        <f t="shared" si="25"/>
        <v>63.472264463615822</v>
      </c>
      <c r="G221" s="17">
        <f t="shared" si="26"/>
        <v>91.734636439350766</v>
      </c>
      <c r="H221" s="17">
        <f t="shared" si="27"/>
        <v>63.472264463615822</v>
      </c>
      <c r="I221">
        <f t="shared" si="28"/>
        <v>214</v>
      </c>
      <c r="J221" s="17">
        <f t="shared" si="29"/>
        <v>63.472264463615822</v>
      </c>
      <c r="K221" s="17">
        <f t="shared" si="30"/>
        <v>77.603450451483297</v>
      </c>
      <c r="L221" s="17">
        <f t="shared" si="31"/>
        <v>91.734636439350766</v>
      </c>
    </row>
    <row r="222" spans="1:12" x14ac:dyDescent="0.25">
      <c r="A222">
        <v>215</v>
      </c>
      <c r="B222" t="str" cm="1">
        <f t="array" ref="B222">INDEX(Sheet1!$A:$A,267-$A222)</f>
        <v>L3S2P47</v>
      </c>
      <c r="C222" s="17" cm="1">
        <f t="array" ref="C222">INDEX(Sheet1!$K:$K,267-$A222)</f>
        <v>78.809737845944454</v>
      </c>
      <c r="D222" s="17" cm="1">
        <f t="array" ref="D222">INDEX(Sheet1!$Q:$Q,267-$A222)</f>
        <v>9.9015525903501089</v>
      </c>
      <c r="E222" s="17">
        <f t="shared" si="24"/>
        <v>24.596820194567876</v>
      </c>
      <c r="F222" s="17">
        <f t="shared" si="25"/>
        <v>54.212917651376578</v>
      </c>
      <c r="G222" s="17">
        <f t="shared" si="26"/>
        <v>103.40655804051232</v>
      </c>
      <c r="H222" s="17">
        <f t="shared" si="27"/>
        <v>54.212917651376578</v>
      </c>
      <c r="I222">
        <f t="shared" si="28"/>
        <v>215</v>
      </c>
      <c r="J222" s="17">
        <f t="shared" si="29"/>
        <v>54.212917651376578</v>
      </c>
      <c r="K222" s="17">
        <f t="shared" si="30"/>
        <v>78.809737845944454</v>
      </c>
      <c r="L222" s="17">
        <f t="shared" si="31"/>
        <v>103.40655804051232</v>
      </c>
    </row>
    <row r="223" spans="1:12" x14ac:dyDescent="0.25">
      <c r="A223">
        <v>216</v>
      </c>
      <c r="B223" t="str" cm="1">
        <f t="array" ref="B223">INDEX(Sheet1!$A:$A,267-$A223)</f>
        <v>L3S3P15</v>
      </c>
      <c r="C223" s="17" cm="1">
        <f t="array" ref="C223">INDEX(Sheet1!$K:$K,267-$A223)</f>
        <v>80.642349282690617</v>
      </c>
      <c r="D223" s="17" cm="1">
        <f t="array" ref="D223">INDEX(Sheet1!$Q:$Q,267-$A223)</f>
        <v>14.254947291443804</v>
      </c>
      <c r="E223" s="17">
        <f t="shared" si="24"/>
        <v>35.411252145688778</v>
      </c>
      <c r="F223" s="17">
        <f t="shared" si="25"/>
        <v>45.231097137001839</v>
      </c>
      <c r="G223" s="17">
        <f t="shared" si="26"/>
        <v>116.05360142837939</v>
      </c>
      <c r="H223" s="17">
        <f t="shared" si="27"/>
        <v>45.231097137001839</v>
      </c>
      <c r="I223">
        <f t="shared" si="28"/>
        <v>216</v>
      </c>
      <c r="J223" s="17">
        <f t="shared" si="29"/>
        <v>45.231097137001839</v>
      </c>
      <c r="K223" s="17">
        <f t="shared" si="30"/>
        <v>80.642349282690617</v>
      </c>
      <c r="L223" s="17">
        <f t="shared" si="31"/>
        <v>116.05360142837939</v>
      </c>
    </row>
    <row r="224" spans="1:12" x14ac:dyDescent="0.25">
      <c r="A224">
        <v>217</v>
      </c>
      <c r="B224" t="str" cm="1">
        <f t="array" ref="B224">INDEX(Sheet1!$A:$A,267-$A224)</f>
        <v>L3S1P42</v>
      </c>
      <c r="C224" s="17" cm="1">
        <f t="array" ref="C224">INDEX(Sheet1!$K:$K,267-$A224)</f>
        <v>81.526318227875066</v>
      </c>
      <c r="D224" s="17" cm="1">
        <f t="array" ref="D224">INDEX(Sheet1!$Q:$Q,267-$A224)</f>
        <v>9.7905905876568138</v>
      </c>
      <c r="E224" s="17">
        <f t="shared" si="24"/>
        <v>24.32117529910612</v>
      </c>
      <c r="F224" s="17">
        <f t="shared" si="25"/>
        <v>57.20514292876895</v>
      </c>
      <c r="G224" s="17">
        <f t="shared" si="26"/>
        <v>105.84749352698118</v>
      </c>
      <c r="H224" s="17">
        <f t="shared" si="27"/>
        <v>57.20514292876895</v>
      </c>
      <c r="I224">
        <f t="shared" si="28"/>
        <v>217</v>
      </c>
      <c r="J224" s="17">
        <f t="shared" si="29"/>
        <v>57.20514292876895</v>
      </c>
      <c r="K224" s="17">
        <f t="shared" si="30"/>
        <v>81.526318227875066</v>
      </c>
      <c r="L224" s="17">
        <f t="shared" si="31"/>
        <v>105.84749352698118</v>
      </c>
    </row>
    <row r="225" spans="1:12" x14ac:dyDescent="0.25">
      <c r="A225">
        <v>218</v>
      </c>
      <c r="B225" t="str" cm="1">
        <f t="array" ref="B225">INDEX(Sheet1!$A:$A,267-$A225)</f>
        <v>L3S3P47</v>
      </c>
      <c r="C225" s="17" cm="1">
        <f t="array" ref="C225">INDEX(Sheet1!$K:$K,267-$A225)</f>
        <v>85.357120509296493</v>
      </c>
      <c r="D225" s="17" cm="1">
        <f t="array" ref="D225">INDEX(Sheet1!$Q:$Q,267-$A225)</f>
        <v>14.065866737549689</v>
      </c>
      <c r="E225" s="17">
        <f t="shared" si="24"/>
        <v>34.941550011201763</v>
      </c>
      <c r="F225" s="17">
        <f t="shared" si="25"/>
        <v>50.415570498094731</v>
      </c>
      <c r="G225" s="17">
        <f t="shared" si="26"/>
        <v>120.29867052049826</v>
      </c>
      <c r="H225" s="17">
        <f t="shared" si="27"/>
        <v>50.415570498094731</v>
      </c>
      <c r="I225">
        <f t="shared" si="28"/>
        <v>218</v>
      </c>
      <c r="J225" s="17">
        <f t="shared" si="29"/>
        <v>50.415570498094731</v>
      </c>
      <c r="K225" s="17">
        <f t="shared" si="30"/>
        <v>85.357120509296493</v>
      </c>
      <c r="L225" s="17">
        <f t="shared" si="31"/>
        <v>120.29867052049826</v>
      </c>
    </row>
    <row r="226" spans="1:12" x14ac:dyDescent="0.25">
      <c r="A226">
        <v>219</v>
      </c>
      <c r="B226" t="str" cm="1">
        <f t="array" ref="B226">INDEX(Sheet1!$A:$A,267-$A226)</f>
        <v>L3S1P00</v>
      </c>
      <c r="C226" s="17" cm="1">
        <f t="array" ref="C226">INDEX(Sheet1!$K:$K,267-$A226)</f>
        <v>86.919409772147688</v>
      </c>
      <c r="D226" s="17" cm="1">
        <f t="array" ref="D226">INDEX(Sheet1!$Q:$Q,267-$A226)</f>
        <v>22.449477074210687</v>
      </c>
      <c r="E226" s="17">
        <f t="shared" si="24"/>
        <v>55.76759260912123</v>
      </c>
      <c r="F226" s="17">
        <f t="shared" si="25"/>
        <v>31.151817163026458</v>
      </c>
      <c r="G226" s="17">
        <f t="shared" si="26"/>
        <v>142.68700238126891</v>
      </c>
      <c r="H226" s="17">
        <f t="shared" si="27"/>
        <v>31.151817163026458</v>
      </c>
      <c r="I226">
        <f t="shared" si="28"/>
        <v>219</v>
      </c>
      <c r="J226" s="17">
        <f t="shared" si="29"/>
        <v>31.151817163026458</v>
      </c>
      <c r="K226" s="17">
        <f t="shared" si="30"/>
        <v>86.919409772147688</v>
      </c>
      <c r="L226" s="17">
        <f t="shared" si="31"/>
        <v>142.68700238126891</v>
      </c>
    </row>
    <row r="227" spans="1:12" x14ac:dyDescent="0.25">
      <c r="A227">
        <v>220</v>
      </c>
      <c r="B227" t="str" cm="1">
        <f t="array" ref="B227">INDEX(Sheet1!$A:$A,267-$A227)</f>
        <v>L3S3P35</v>
      </c>
      <c r="C227" s="17" cm="1">
        <f t="array" ref="C227">INDEX(Sheet1!$K:$K,267-$A227)</f>
        <v>87.723098249870048</v>
      </c>
      <c r="D227" s="17" cm="1">
        <f t="array" ref="D227">INDEX(Sheet1!$Q:$Q,267-$A227)</f>
        <v>7.9686700035937328</v>
      </c>
      <c r="E227" s="17">
        <f t="shared" si="24"/>
        <v>19.795273668420833</v>
      </c>
      <c r="F227" s="17">
        <f t="shared" si="25"/>
        <v>67.927824581449215</v>
      </c>
      <c r="G227" s="17">
        <f t="shared" si="26"/>
        <v>107.51837191829088</v>
      </c>
      <c r="H227" s="17">
        <f t="shared" si="27"/>
        <v>67.927824581449215</v>
      </c>
      <c r="I227">
        <f t="shared" si="28"/>
        <v>220</v>
      </c>
      <c r="J227" s="17">
        <f t="shared" si="29"/>
        <v>67.927824581449215</v>
      </c>
      <c r="K227" s="17">
        <f t="shared" si="30"/>
        <v>87.723098249870048</v>
      </c>
      <c r="L227" s="17">
        <f t="shared" si="31"/>
        <v>107.51837191829088</v>
      </c>
    </row>
    <row r="228" spans="1:12" x14ac:dyDescent="0.25">
      <c r="A228">
        <v>221</v>
      </c>
      <c r="B228" t="str" cm="1">
        <f t="array" ref="B228">INDEX(Sheet1!$A:$A,267-$A228)</f>
        <v>L3S2P43</v>
      </c>
      <c r="C228" s="17" cm="1">
        <f t="array" ref="C228">INDEX(Sheet1!$K:$K,267-$A228)</f>
        <v>92.443348819569536</v>
      </c>
      <c r="D228" s="17" cm="1">
        <f t="array" ref="D228">INDEX(Sheet1!$Q:$Q,267-$A228)</f>
        <v>0</v>
      </c>
      <c r="E228" s="17">
        <f t="shared" si="24"/>
        <v>0</v>
      </c>
      <c r="F228" s="17">
        <f t="shared" si="25"/>
        <v>92.443348819569536</v>
      </c>
      <c r="G228" s="17">
        <f t="shared" si="26"/>
        <v>92.443348819569536</v>
      </c>
      <c r="H228" s="17">
        <f t="shared" si="27"/>
        <v>92.443348819569536</v>
      </c>
      <c r="I228">
        <f t="shared" si="28"/>
        <v>221</v>
      </c>
      <c r="J228" s="17">
        <f t="shared" si="29"/>
        <v>92.443348819569536</v>
      </c>
      <c r="K228" s="17">
        <f t="shared" si="30"/>
        <v>92.443348819569536</v>
      </c>
      <c r="L228" s="17">
        <f t="shared" si="31"/>
        <v>92.443348819569536</v>
      </c>
    </row>
    <row r="229" spans="1:12" x14ac:dyDescent="0.25">
      <c r="A229">
        <v>222</v>
      </c>
      <c r="B229" t="str" cm="1">
        <f t="array" ref="B229">INDEX(Sheet1!$A:$A,267-$A229)</f>
        <v>L3S3P14</v>
      </c>
      <c r="C229" s="17" cm="1">
        <f t="array" ref="C229">INDEX(Sheet1!$K:$K,267-$A229)</f>
        <v>93.177870802143673</v>
      </c>
      <c r="D229" s="17" cm="1">
        <f t="array" ref="D229">INDEX(Sheet1!$Q:$Q,267-$A229)</f>
        <v>18.050321659879508</v>
      </c>
      <c r="E229" s="17">
        <f t="shared" si="24"/>
        <v>44.839484744530502</v>
      </c>
      <c r="F229" s="17">
        <f t="shared" si="25"/>
        <v>48.338386057613171</v>
      </c>
      <c r="G229" s="17">
        <f t="shared" si="26"/>
        <v>138.01735554667417</v>
      </c>
      <c r="H229" s="17">
        <f t="shared" si="27"/>
        <v>48.338386057613171</v>
      </c>
      <c r="I229">
        <f t="shared" si="28"/>
        <v>222</v>
      </c>
      <c r="J229" s="17">
        <f t="shared" si="29"/>
        <v>48.338386057613171</v>
      </c>
      <c r="K229" s="17">
        <f t="shared" si="30"/>
        <v>93.177870802143673</v>
      </c>
      <c r="L229" s="17">
        <f t="shared" si="31"/>
        <v>138.01735554667417</v>
      </c>
    </row>
    <row r="230" spans="1:12" x14ac:dyDescent="0.25">
      <c r="A230">
        <v>223</v>
      </c>
      <c r="B230" t="str" cm="1">
        <f t="array" ref="B230">INDEX(Sheet1!$A:$A,267-$A230)</f>
        <v>L3S2P42</v>
      </c>
      <c r="C230" s="17" cm="1">
        <f t="array" ref="C230">INDEX(Sheet1!$K:$K,267-$A230)</f>
        <v>95.199857944792626</v>
      </c>
      <c r="D230" s="17" cm="1">
        <f t="array" ref="D230">INDEX(Sheet1!$Q:$Q,267-$A230)</f>
        <v>36.974517399788219</v>
      </c>
      <c r="E230" s="17">
        <f t="shared" si="24"/>
        <v>91.849793046582676</v>
      </c>
      <c r="F230" s="17">
        <f t="shared" si="25"/>
        <v>3.3500648982099506</v>
      </c>
      <c r="G230" s="17">
        <f t="shared" si="26"/>
        <v>187.0496509913753</v>
      </c>
      <c r="H230" s="17">
        <f t="shared" si="27"/>
        <v>9.519985794479263</v>
      </c>
      <c r="I230">
        <f t="shared" si="28"/>
        <v>223</v>
      </c>
      <c r="J230" s="17">
        <f t="shared" si="29"/>
        <v>9.519985794479263</v>
      </c>
      <c r="K230" s="17">
        <f t="shared" si="30"/>
        <v>95.199857944792626</v>
      </c>
      <c r="L230" s="17">
        <f t="shared" si="31"/>
        <v>187.0496509913753</v>
      </c>
    </row>
    <row r="231" spans="1:12" x14ac:dyDescent="0.25">
      <c r="A231">
        <v>224</v>
      </c>
      <c r="B231" t="str" cm="1">
        <f t="array" ref="B231">INDEX(Sheet1!$A:$A,267-$A231)</f>
        <v>L3S3P42</v>
      </c>
      <c r="C231" s="17" cm="1">
        <f t="array" ref="C231">INDEX(Sheet1!$K:$K,267-$A231)</f>
        <v>95.496677244186387</v>
      </c>
      <c r="D231" s="17" cm="1">
        <f t="array" ref="D231">INDEX(Sheet1!$Q:$Q,267-$A231)</f>
        <v>38.85767431400464</v>
      </c>
      <c r="E231" s="17">
        <f t="shared" si="24"/>
        <v>96.527814154331068</v>
      </c>
      <c r="F231" s="17">
        <f t="shared" si="25"/>
        <v>-1.0311369101446815</v>
      </c>
      <c r="G231" s="17">
        <f t="shared" si="26"/>
        <v>192.02449139851745</v>
      </c>
      <c r="H231" s="17">
        <f t="shared" si="27"/>
        <v>9.5496677244186383</v>
      </c>
      <c r="I231">
        <f t="shared" si="28"/>
        <v>224</v>
      </c>
      <c r="J231" s="17">
        <f t="shared" si="29"/>
        <v>9.5496677244186383</v>
      </c>
      <c r="K231" s="17">
        <f t="shared" si="30"/>
        <v>95.496677244186387</v>
      </c>
      <c r="L231" s="17">
        <f t="shared" si="31"/>
        <v>192.02449139851745</v>
      </c>
    </row>
    <row r="232" spans="1:12" x14ac:dyDescent="0.25">
      <c r="A232">
        <v>225</v>
      </c>
      <c r="B232" t="str" cm="1">
        <f t="array" ref="B232">INDEX(Sheet1!$A:$A,267-$A232)</f>
        <v>L3S3P43</v>
      </c>
      <c r="C232" s="17" cm="1">
        <f t="array" ref="C232">INDEX(Sheet1!$K:$K,267-$A232)</f>
        <v>104.30865054717114</v>
      </c>
      <c r="D232" s="17" cm="1">
        <f t="array" ref="D232">INDEX(Sheet1!$Q:$Q,267-$A232)</f>
        <v>37.01644299001606</v>
      </c>
      <c r="E232" s="17">
        <f t="shared" si="24"/>
        <v>91.953941986355048</v>
      </c>
      <c r="F232" s="17">
        <f t="shared" si="25"/>
        <v>12.354708560816093</v>
      </c>
      <c r="G232" s="17">
        <f t="shared" si="26"/>
        <v>196.26259253352617</v>
      </c>
      <c r="H232" s="17">
        <f t="shared" si="27"/>
        <v>12.354708560816093</v>
      </c>
      <c r="I232">
        <f t="shared" si="28"/>
        <v>225</v>
      </c>
      <c r="J232" s="17">
        <f t="shared" si="29"/>
        <v>12.354708560816093</v>
      </c>
      <c r="K232" s="17">
        <f t="shared" si="30"/>
        <v>104.30865054717114</v>
      </c>
      <c r="L232" s="17">
        <f t="shared" si="31"/>
        <v>196.26259253352617</v>
      </c>
    </row>
    <row r="233" spans="1:12" x14ac:dyDescent="0.25">
      <c r="A233">
        <v>226</v>
      </c>
      <c r="B233" t="str" cm="1">
        <f t="array" ref="B233">INDEX(Sheet1!$A:$A,267-$A233)</f>
        <v>L3S1P11</v>
      </c>
      <c r="C233" s="17" cm="1">
        <f t="array" ref="C233">INDEX(Sheet1!$K:$K,267-$A233)</f>
        <v>107.66605984786608</v>
      </c>
      <c r="D233" s="17" cm="1">
        <f t="array" ref="D233">INDEX(Sheet1!$Q:$Q,267-$A233)</f>
        <v>15.456097563801734</v>
      </c>
      <c r="E233" s="17">
        <f t="shared" si="24"/>
        <v>38.395074834732284</v>
      </c>
      <c r="F233" s="17">
        <f t="shared" si="25"/>
        <v>69.270985013133796</v>
      </c>
      <c r="G233" s="17">
        <f t="shared" si="26"/>
        <v>146.06113468259838</v>
      </c>
      <c r="H233" s="17">
        <f t="shared" si="27"/>
        <v>69.270985013133796</v>
      </c>
      <c r="I233">
        <f t="shared" si="28"/>
        <v>226</v>
      </c>
      <c r="J233" s="17">
        <f t="shared" si="29"/>
        <v>69.270985013133796</v>
      </c>
      <c r="K233" s="17">
        <f t="shared" si="30"/>
        <v>107.66605984786608</v>
      </c>
      <c r="L233" s="17">
        <f t="shared" si="31"/>
        <v>146.06113468259838</v>
      </c>
    </row>
    <row r="234" spans="1:12" x14ac:dyDescent="0.25">
      <c r="A234">
        <v>227</v>
      </c>
      <c r="B234" t="str" cm="1">
        <f t="array" ref="B234">INDEX(Sheet1!$A:$A,267-$A234)</f>
        <v>L3S3P31</v>
      </c>
      <c r="C234" s="17" cm="1">
        <f t="array" ref="C234">INDEX(Sheet1!$K:$K,267-$A234)</f>
        <v>113.7647756748451</v>
      </c>
      <c r="D234" s="17" cm="1">
        <f t="array" ref="D234">INDEX(Sheet1!$Q:$Q,267-$A234)</f>
        <v>17.787347256262084</v>
      </c>
      <c r="E234" s="17">
        <f t="shared" si="24"/>
        <v>44.186220111279411</v>
      </c>
      <c r="F234" s="17">
        <f t="shared" si="25"/>
        <v>69.578555563565686</v>
      </c>
      <c r="G234" s="17">
        <f t="shared" si="26"/>
        <v>157.95099578612451</v>
      </c>
      <c r="H234" s="17">
        <f t="shared" si="27"/>
        <v>69.578555563565686</v>
      </c>
      <c r="I234">
        <f t="shared" si="28"/>
        <v>227</v>
      </c>
      <c r="J234" s="17">
        <f t="shared" si="29"/>
        <v>69.578555563565686</v>
      </c>
      <c r="K234" s="17">
        <f t="shared" si="30"/>
        <v>113.7647756748451</v>
      </c>
      <c r="L234" s="17">
        <f t="shared" si="31"/>
        <v>157.95099578612451</v>
      </c>
    </row>
    <row r="235" spans="1:12" x14ac:dyDescent="0.25">
      <c r="A235">
        <v>228</v>
      </c>
      <c r="B235" t="str" cm="1">
        <f t="array" ref="B235">INDEX(Sheet1!$A:$A,267-$A235)</f>
        <v>L3S3P54</v>
      </c>
      <c r="C235" s="17" cm="1">
        <f t="array" ref="C235">INDEX(Sheet1!$K:$K,267-$A235)</f>
        <v>114.07385909345544</v>
      </c>
      <c r="D235" s="17" cm="1">
        <f t="array" ref="D235">INDEX(Sheet1!$Q:$Q,267-$A235)</f>
        <v>20.011293938997401</v>
      </c>
      <c r="E235" s="17">
        <f t="shared" si="24"/>
        <v>49.710809934784251</v>
      </c>
      <c r="F235" s="17">
        <f t="shared" si="25"/>
        <v>64.363049158671188</v>
      </c>
      <c r="G235" s="17">
        <f t="shared" si="26"/>
        <v>163.7846690282397</v>
      </c>
      <c r="H235" s="17">
        <f t="shared" si="27"/>
        <v>64.363049158671188</v>
      </c>
      <c r="I235">
        <f t="shared" si="28"/>
        <v>228</v>
      </c>
      <c r="J235" s="17">
        <f t="shared" si="29"/>
        <v>64.363049158671188</v>
      </c>
      <c r="K235" s="17">
        <f t="shared" si="30"/>
        <v>114.07385909345544</v>
      </c>
      <c r="L235" s="17">
        <f t="shared" si="31"/>
        <v>163.7846690282397</v>
      </c>
    </row>
    <row r="236" spans="1:12" x14ac:dyDescent="0.25">
      <c r="A236">
        <v>229</v>
      </c>
      <c r="B236" t="str" cm="1">
        <f t="array" ref="B236">INDEX(Sheet1!$A:$A,267-$A236)</f>
        <v>L3S2P44</v>
      </c>
      <c r="C236" s="17" cm="1">
        <f t="array" ref="C236">INDEX(Sheet1!$K:$K,267-$A236)</f>
        <v>116.03121374668386</v>
      </c>
      <c r="D236" s="17" cm="1">
        <f t="array" ref="D236">INDEX(Sheet1!$Q:$Q,267-$A236)</f>
        <v>29.010802834398433</v>
      </c>
      <c r="E236" s="17">
        <f t="shared" si="24"/>
        <v>72.066829369082512</v>
      </c>
      <c r="F236" s="17">
        <f t="shared" si="25"/>
        <v>43.964384377601348</v>
      </c>
      <c r="G236" s="17">
        <f t="shared" si="26"/>
        <v>188.09804311576636</v>
      </c>
      <c r="H236" s="17">
        <f t="shared" si="27"/>
        <v>43.964384377601348</v>
      </c>
      <c r="I236">
        <f t="shared" si="28"/>
        <v>229</v>
      </c>
      <c r="J236" s="17">
        <f t="shared" si="29"/>
        <v>43.964384377601348</v>
      </c>
      <c r="K236" s="17">
        <f t="shared" si="30"/>
        <v>116.03121374668386</v>
      </c>
      <c r="L236" s="17">
        <f t="shared" si="31"/>
        <v>188.09804311576636</v>
      </c>
    </row>
    <row r="237" spans="1:12" x14ac:dyDescent="0.25">
      <c r="A237">
        <v>230</v>
      </c>
      <c r="B237" t="str" cm="1">
        <f t="array" ref="B237">INDEX(Sheet1!$A:$A,267-$A237)</f>
        <v>L3S3P45</v>
      </c>
      <c r="C237" s="17" cm="1">
        <f t="array" ref="C237">INDEX(Sheet1!$K:$K,267-$A237)</f>
        <v>118.12370688258261</v>
      </c>
      <c r="D237" s="17" cm="1">
        <f t="array" ref="D237">INDEX(Sheet1!$Q:$Q,267-$A237)</f>
        <v>22.590651390050962</v>
      </c>
      <c r="E237" s="17">
        <f t="shared" si="24"/>
        <v>56.118289051030615</v>
      </c>
      <c r="F237" s="17">
        <f t="shared" si="25"/>
        <v>62.005417831551995</v>
      </c>
      <c r="G237" s="17">
        <f t="shared" si="26"/>
        <v>174.24199593361323</v>
      </c>
      <c r="H237" s="17">
        <f t="shared" si="27"/>
        <v>62.005417831551995</v>
      </c>
      <c r="I237">
        <f t="shared" si="28"/>
        <v>230</v>
      </c>
      <c r="J237" s="17">
        <f t="shared" si="29"/>
        <v>62.005417831551995</v>
      </c>
      <c r="K237" s="17">
        <f t="shared" si="30"/>
        <v>118.12370688258261</v>
      </c>
      <c r="L237" s="17">
        <f t="shared" si="31"/>
        <v>174.24199593361323</v>
      </c>
    </row>
    <row r="238" spans="1:12" x14ac:dyDescent="0.25">
      <c r="A238">
        <v>231</v>
      </c>
      <c r="B238" t="str" cm="1">
        <f t="array" ref="B238">INDEX(Sheet1!$A:$A,267-$A238)</f>
        <v>L3S1P47</v>
      </c>
      <c r="C238" s="17" cm="1">
        <f t="array" ref="C238">INDEX(Sheet1!$K:$K,267-$A238)</f>
        <v>123.42689674212882</v>
      </c>
      <c r="D238" s="17" cm="1">
        <f t="array" ref="D238">INDEX(Sheet1!$Q:$Q,267-$A238)</f>
        <v>15.355596861220118</v>
      </c>
      <c r="E238" s="17">
        <f t="shared" si="24"/>
        <v>38.145417249391897</v>
      </c>
      <c r="F238" s="17">
        <f t="shared" si="25"/>
        <v>85.281479492736921</v>
      </c>
      <c r="G238" s="17">
        <f t="shared" si="26"/>
        <v>161.57231399152073</v>
      </c>
      <c r="H238" s="17">
        <f t="shared" si="27"/>
        <v>85.281479492736921</v>
      </c>
      <c r="I238">
        <f t="shared" si="28"/>
        <v>231</v>
      </c>
      <c r="J238" s="17">
        <f t="shared" si="29"/>
        <v>85.281479492736921</v>
      </c>
      <c r="K238" s="17">
        <f t="shared" si="30"/>
        <v>123.42689674212882</v>
      </c>
      <c r="L238" s="17">
        <f t="shared" si="31"/>
        <v>161.57231399152073</v>
      </c>
    </row>
    <row r="239" spans="1:12" x14ac:dyDescent="0.25">
      <c r="A239">
        <v>232</v>
      </c>
      <c r="B239" t="str" cm="1">
        <f t="array" ref="B239">INDEX(Sheet1!$A:$A,267-$A239)</f>
        <v>L3S2P00</v>
      </c>
      <c r="C239" s="17" cm="1">
        <f t="array" ref="C239">INDEX(Sheet1!$K:$K,267-$A239)</f>
        <v>127.47375181053154</v>
      </c>
      <c r="D239" s="17" cm="1">
        <f t="array" ref="D239">INDEX(Sheet1!$Q:$Q,267-$A239)</f>
        <v>21.473445251151691</v>
      </c>
      <c r="E239" s="17">
        <f t="shared" si="24"/>
        <v>53.34299514959195</v>
      </c>
      <c r="F239" s="17">
        <f t="shared" si="25"/>
        <v>74.130756660939596</v>
      </c>
      <c r="G239" s="17">
        <f t="shared" si="26"/>
        <v>180.81674696012348</v>
      </c>
      <c r="H239" s="17">
        <f t="shared" si="27"/>
        <v>74.130756660939596</v>
      </c>
      <c r="I239">
        <f t="shared" si="28"/>
        <v>232</v>
      </c>
      <c r="J239" s="17">
        <f t="shared" si="29"/>
        <v>74.130756660939596</v>
      </c>
      <c r="K239" s="17">
        <f t="shared" si="30"/>
        <v>127.47375181053154</v>
      </c>
      <c r="L239" s="17">
        <f t="shared" si="31"/>
        <v>180.81674696012348</v>
      </c>
    </row>
    <row r="240" spans="1:12" x14ac:dyDescent="0.25">
      <c r="A240">
        <v>233</v>
      </c>
      <c r="B240" t="str" cm="1">
        <f t="array" ref="B240">INDEX(Sheet1!$A:$A,267-$A240)</f>
        <v>L3S1P22</v>
      </c>
      <c r="C240" s="17" cm="1">
        <f t="array" ref="C240">INDEX(Sheet1!$K:$K,267-$A240)</f>
        <v>128.05773457894932</v>
      </c>
      <c r="D240" s="17" cm="1">
        <f t="array" ref="D240">INDEX(Sheet1!$Q:$Q,267-$A240)</f>
        <v>42.761908853086481</v>
      </c>
      <c r="E240" s="17">
        <f t="shared" si="24"/>
        <v>106.22647040838243</v>
      </c>
      <c r="F240" s="17">
        <f t="shared" si="25"/>
        <v>21.831264170566897</v>
      </c>
      <c r="G240" s="17">
        <f t="shared" si="26"/>
        <v>234.28420498733175</v>
      </c>
      <c r="H240" s="17">
        <f t="shared" si="27"/>
        <v>21.831264170566897</v>
      </c>
      <c r="I240">
        <f t="shared" si="28"/>
        <v>233</v>
      </c>
      <c r="J240" s="17">
        <f t="shared" si="29"/>
        <v>21.831264170566897</v>
      </c>
      <c r="K240" s="17">
        <f t="shared" si="30"/>
        <v>128.05773457894932</v>
      </c>
      <c r="L240" s="17">
        <f t="shared" si="31"/>
        <v>234.28420498733175</v>
      </c>
    </row>
    <row r="241" spans="1:12" x14ac:dyDescent="0.25">
      <c r="A241">
        <v>234</v>
      </c>
      <c r="B241" t="str" cm="1">
        <f t="array" ref="B241">INDEX(Sheet1!$A:$A,267-$A241)</f>
        <v>L3S1P54</v>
      </c>
      <c r="C241" s="17" cm="1">
        <f t="array" ref="C241">INDEX(Sheet1!$K:$K,267-$A241)</f>
        <v>146.083323394084</v>
      </c>
      <c r="D241" s="17" cm="1">
        <f t="array" ref="D241">INDEX(Sheet1!$Q:$Q,267-$A241)</f>
        <v>67.239627987260079</v>
      </c>
      <c r="E241" s="17">
        <f t="shared" si="24"/>
        <v>167.03249560721571</v>
      </c>
      <c r="F241" s="17">
        <f t="shared" si="25"/>
        <v>-20.949172213131703</v>
      </c>
      <c r="G241" s="17">
        <f t="shared" si="26"/>
        <v>313.11581900129971</v>
      </c>
      <c r="H241" s="17">
        <f t="shared" si="27"/>
        <v>14.608332339408401</v>
      </c>
      <c r="I241">
        <f t="shared" si="28"/>
        <v>234</v>
      </c>
      <c r="J241" s="17">
        <f t="shared" si="29"/>
        <v>14.608332339408401</v>
      </c>
      <c r="K241" s="17">
        <f t="shared" si="30"/>
        <v>146.083323394084</v>
      </c>
      <c r="L241" s="17">
        <f t="shared" si="31"/>
        <v>313.11581900129971</v>
      </c>
    </row>
    <row r="242" spans="1:12" x14ac:dyDescent="0.25">
      <c r="A242">
        <v>235</v>
      </c>
      <c r="B242" t="str" cm="1">
        <f t="array" ref="B242">INDEX(Sheet1!$A:$A,267-$A242)</f>
        <v>L3S2P14</v>
      </c>
      <c r="C242" s="17" cm="1">
        <f t="array" ref="C242">INDEX(Sheet1!$K:$K,267-$A242)</f>
        <v>148.73652543283109</v>
      </c>
      <c r="D242" s="17" cm="1">
        <f t="array" ref="D242">INDEX(Sheet1!$Q:$Q,267-$A242)</f>
        <v>7.1465674483419903</v>
      </c>
      <c r="E242" s="17">
        <f t="shared" si="24"/>
        <v>17.753057707993669</v>
      </c>
      <c r="F242" s="17">
        <f t="shared" si="25"/>
        <v>130.98346772483742</v>
      </c>
      <c r="G242" s="17">
        <f t="shared" si="26"/>
        <v>166.48958314082475</v>
      </c>
      <c r="H242" s="17">
        <f t="shared" si="27"/>
        <v>130.98346772483742</v>
      </c>
      <c r="I242">
        <f t="shared" si="28"/>
        <v>235</v>
      </c>
      <c r="J242" s="17">
        <f t="shared" si="29"/>
        <v>130.98346772483742</v>
      </c>
      <c r="K242" s="17">
        <f t="shared" si="30"/>
        <v>148.73652543283109</v>
      </c>
      <c r="L242" s="17">
        <f t="shared" si="31"/>
        <v>166.48958314082475</v>
      </c>
    </row>
    <row r="243" spans="1:12" x14ac:dyDescent="0.25">
      <c r="A243">
        <v>236</v>
      </c>
      <c r="B243" t="str" cm="1">
        <f t="array" ref="B243">INDEX(Sheet1!$A:$A,267-$A243)</f>
        <v>L3S2P24</v>
      </c>
      <c r="C243" s="17" cm="1">
        <f t="array" ref="C243">INDEX(Sheet1!$K:$K,267-$A243)</f>
        <v>151.16412541753812</v>
      </c>
      <c r="D243" s="17" cm="1">
        <f t="array" ref="D243">INDEX(Sheet1!$Q:$Q,267-$A243)</f>
        <v>16.843460925358677</v>
      </c>
      <c r="E243" s="17">
        <f t="shared" si="24"/>
        <v>41.841476481076604</v>
      </c>
      <c r="F243" s="17">
        <f t="shared" si="25"/>
        <v>109.32264893646152</v>
      </c>
      <c r="G243" s="17">
        <f t="shared" si="26"/>
        <v>193.00560189861471</v>
      </c>
      <c r="H243" s="17">
        <f t="shared" si="27"/>
        <v>109.32264893646152</v>
      </c>
      <c r="I243">
        <f t="shared" si="28"/>
        <v>236</v>
      </c>
      <c r="J243" s="17">
        <f t="shared" si="29"/>
        <v>109.32264893646152</v>
      </c>
      <c r="K243" s="17">
        <f t="shared" si="30"/>
        <v>151.16412541753812</v>
      </c>
      <c r="L243" s="17">
        <f t="shared" si="31"/>
        <v>193.00560189861471</v>
      </c>
    </row>
    <row r="244" spans="1:12" x14ac:dyDescent="0.25">
      <c r="A244">
        <v>237</v>
      </c>
      <c r="B244" t="str" cm="1">
        <f t="array" ref="B244">INDEX(Sheet1!$A:$A,267-$A244)</f>
        <v>L3S1P41</v>
      </c>
      <c r="C244" s="17" cm="1">
        <f t="array" ref="C244">INDEX(Sheet1!$K:$K,267-$A244)</f>
        <v>157.51783853240042</v>
      </c>
      <c r="D244" s="17" cm="1">
        <f t="array" ref="D244">INDEX(Sheet1!$Q:$Q,267-$A244)</f>
        <v>16.469552059065229</v>
      </c>
      <c r="E244" s="17">
        <f t="shared" si="24"/>
        <v>40.912635365559233</v>
      </c>
      <c r="F244" s="17">
        <f t="shared" si="25"/>
        <v>116.60520316684119</v>
      </c>
      <c r="G244" s="17">
        <f t="shared" si="26"/>
        <v>198.43047389795964</v>
      </c>
      <c r="H244" s="17">
        <f t="shared" si="27"/>
        <v>116.60520316684119</v>
      </c>
      <c r="I244">
        <f t="shared" si="28"/>
        <v>237</v>
      </c>
      <c r="J244" s="17">
        <f t="shared" si="29"/>
        <v>116.60520316684119</v>
      </c>
      <c r="K244" s="17">
        <f t="shared" si="30"/>
        <v>157.51783853240042</v>
      </c>
      <c r="L244" s="17">
        <f t="shared" si="31"/>
        <v>198.43047389795964</v>
      </c>
    </row>
    <row r="245" spans="1:12" x14ac:dyDescent="0.25">
      <c r="A245">
        <v>238</v>
      </c>
      <c r="B245" t="str" cm="1">
        <f t="array" ref="B245">INDEX(Sheet1!$A:$A,267-$A245)</f>
        <v>L3S3P12</v>
      </c>
      <c r="C245" s="17" cm="1">
        <f t="array" ref="C245">INDEX(Sheet1!$K:$K,267-$A245)</f>
        <v>157.52846451164092</v>
      </c>
      <c r="D245" s="17" cm="1">
        <f t="array" ref="D245">INDEX(Sheet1!$Q:$Q,267-$A245)</f>
        <v>4.4164654052368748</v>
      </c>
      <c r="E245" s="17">
        <f t="shared" si="24"/>
        <v>10.971108265789626</v>
      </c>
      <c r="F245" s="17">
        <f t="shared" si="25"/>
        <v>146.55735624585128</v>
      </c>
      <c r="G245" s="17">
        <f t="shared" si="26"/>
        <v>168.49957277743056</v>
      </c>
      <c r="H245" s="17">
        <f t="shared" si="27"/>
        <v>146.55735624585128</v>
      </c>
      <c r="I245">
        <f t="shared" si="28"/>
        <v>238</v>
      </c>
      <c r="J245" s="17">
        <f t="shared" si="29"/>
        <v>146.55735624585128</v>
      </c>
      <c r="K245" s="17">
        <f t="shared" si="30"/>
        <v>157.52846451164092</v>
      </c>
      <c r="L245" s="17">
        <f t="shared" si="31"/>
        <v>168.49957277743056</v>
      </c>
    </row>
    <row r="246" spans="1:12" x14ac:dyDescent="0.25">
      <c r="A246">
        <v>239</v>
      </c>
      <c r="B246" t="str" cm="1">
        <f t="array" ref="B246">INDEX(Sheet1!$A:$A,267-$A246)</f>
        <v>L3S3P52</v>
      </c>
      <c r="C246" s="17" cm="1">
        <f t="array" ref="C246">INDEX(Sheet1!$K:$K,267-$A246)</f>
        <v>163.6295355782471</v>
      </c>
      <c r="D246" s="17" cm="1">
        <f t="array" ref="D246">INDEX(Sheet1!$Q:$Q,267-$A246)</f>
        <v>39.31338257258799</v>
      </c>
      <c r="E246" s="17">
        <f t="shared" si="24"/>
        <v>97.659856225034034</v>
      </c>
      <c r="F246" s="17">
        <f t="shared" si="25"/>
        <v>65.969679353213067</v>
      </c>
      <c r="G246" s="17">
        <f t="shared" si="26"/>
        <v>261.28939180328115</v>
      </c>
      <c r="H246" s="17">
        <f t="shared" si="27"/>
        <v>65.969679353213067</v>
      </c>
      <c r="I246">
        <f t="shared" si="28"/>
        <v>239</v>
      </c>
      <c r="J246" s="17">
        <f t="shared" si="29"/>
        <v>65.969679353213067</v>
      </c>
      <c r="K246" s="17">
        <f t="shared" si="30"/>
        <v>163.6295355782471</v>
      </c>
      <c r="L246" s="17">
        <f t="shared" si="31"/>
        <v>261.28939180328115</v>
      </c>
    </row>
    <row r="247" spans="1:12" x14ac:dyDescent="0.25">
      <c r="A247">
        <v>240</v>
      </c>
      <c r="B247" t="str" cm="1">
        <f t="array" ref="B247">INDEX(Sheet1!$A:$A,267-$A247)</f>
        <v>L3S1P12</v>
      </c>
      <c r="C247" s="17" cm="1">
        <f t="array" ref="C247">INDEX(Sheet1!$K:$K,267-$A247)</f>
        <v>166.4979565787774</v>
      </c>
      <c r="D247" s="17" cm="1">
        <f t="array" ref="D247">INDEX(Sheet1!$Q:$Q,267-$A247)</f>
        <v>13.458295373209353</v>
      </c>
      <c r="E247" s="17">
        <f t="shared" si="24"/>
        <v>33.43225907246434</v>
      </c>
      <c r="F247" s="17">
        <f t="shared" si="25"/>
        <v>133.06569750631306</v>
      </c>
      <c r="G247" s="17">
        <f t="shared" si="26"/>
        <v>199.93021565124175</v>
      </c>
      <c r="H247" s="17">
        <f t="shared" si="27"/>
        <v>133.06569750631306</v>
      </c>
      <c r="I247">
        <f t="shared" si="28"/>
        <v>240</v>
      </c>
      <c r="J247" s="17">
        <f t="shared" si="29"/>
        <v>133.06569750631306</v>
      </c>
      <c r="K247" s="17">
        <f t="shared" si="30"/>
        <v>166.4979565787774</v>
      </c>
      <c r="L247" s="17">
        <f t="shared" si="31"/>
        <v>199.93021565124175</v>
      </c>
    </row>
    <row r="248" spans="1:12" x14ac:dyDescent="0.25">
      <c r="A248">
        <v>241</v>
      </c>
      <c r="B248" t="str" cm="1">
        <f t="array" ref="B248">INDEX(Sheet1!$A:$A,267-$A248)</f>
        <v>L3S3P23</v>
      </c>
      <c r="C248" s="17" cm="1">
        <f t="array" ref="C248">INDEX(Sheet1!$K:$K,267-$A248)</f>
        <v>168.18058198986523</v>
      </c>
      <c r="D248" s="17" cm="1">
        <f t="array" ref="D248">INDEX(Sheet1!$Q:$Q,267-$A248)</f>
        <v>73.797197712757992</v>
      </c>
      <c r="E248" s="17">
        <f t="shared" si="24"/>
        <v>183.32240185975735</v>
      </c>
      <c r="F248" s="17">
        <f t="shared" si="25"/>
        <v>-15.141819869892117</v>
      </c>
      <c r="G248" s="17">
        <f t="shared" si="26"/>
        <v>351.50298384962258</v>
      </c>
      <c r="H248" s="17">
        <f t="shared" si="27"/>
        <v>16.818058198986524</v>
      </c>
      <c r="I248">
        <f t="shared" si="28"/>
        <v>241</v>
      </c>
      <c r="J248" s="17">
        <f t="shared" si="29"/>
        <v>16.818058198986524</v>
      </c>
      <c r="K248" s="17">
        <f t="shared" si="30"/>
        <v>168.18058198986523</v>
      </c>
      <c r="L248" s="17">
        <f t="shared" si="31"/>
        <v>351.50298384962258</v>
      </c>
    </row>
    <row r="249" spans="1:12" x14ac:dyDescent="0.25">
      <c r="A249">
        <v>242</v>
      </c>
      <c r="B249" t="str" cm="1">
        <f t="array" ref="B249">INDEX(Sheet1!$A:$A,267-$A249)</f>
        <v>L3S3P11</v>
      </c>
      <c r="C249" s="17" cm="1">
        <f t="array" ref="C249">INDEX(Sheet1!$K:$K,267-$A249)</f>
        <v>172.5986599171421</v>
      </c>
      <c r="D249" s="17" cm="1">
        <f t="array" ref="D249">INDEX(Sheet1!$Q:$Q,267-$A249)</f>
        <v>69.130957162700511</v>
      </c>
      <c r="E249" s="17">
        <f t="shared" si="24"/>
        <v>171.73081773726094</v>
      </c>
      <c r="F249" s="17">
        <f t="shared" si="25"/>
        <v>0.86784217988116552</v>
      </c>
      <c r="G249" s="17">
        <f t="shared" si="26"/>
        <v>344.32947765440304</v>
      </c>
      <c r="H249" s="17">
        <f t="shared" si="27"/>
        <v>17.259865991714211</v>
      </c>
      <c r="I249">
        <f t="shared" si="28"/>
        <v>242</v>
      </c>
      <c r="J249" s="17">
        <f t="shared" si="29"/>
        <v>17.259865991714211</v>
      </c>
      <c r="K249" s="17">
        <f t="shared" si="30"/>
        <v>172.5986599171421</v>
      </c>
      <c r="L249" s="17">
        <f t="shared" si="31"/>
        <v>344.32947765440304</v>
      </c>
    </row>
    <row r="250" spans="1:12" x14ac:dyDescent="0.25">
      <c r="A250">
        <v>243</v>
      </c>
      <c r="B250" t="str" cm="1">
        <f t="array" ref="B250">INDEX(Sheet1!$A:$A,267-$A250)</f>
        <v>L3S1P13</v>
      </c>
      <c r="C250" s="17" cm="1">
        <f t="array" ref="C250">INDEX(Sheet1!$K:$K,267-$A250)</f>
        <v>177.93866568945751</v>
      </c>
      <c r="D250" s="17" cm="1">
        <f t="array" ref="D250">INDEX(Sheet1!$Q:$Q,267-$A250)</f>
        <v>55.157811818931151</v>
      </c>
      <c r="E250" s="17">
        <f t="shared" si="24"/>
        <v>137.01960043703494</v>
      </c>
      <c r="F250" s="17">
        <f t="shared" si="25"/>
        <v>40.91906525242257</v>
      </c>
      <c r="G250" s="17">
        <f t="shared" si="26"/>
        <v>314.95826612649245</v>
      </c>
      <c r="H250" s="17">
        <f t="shared" si="27"/>
        <v>40.91906525242257</v>
      </c>
      <c r="I250">
        <f t="shared" si="28"/>
        <v>243</v>
      </c>
      <c r="J250" s="17">
        <f t="shared" si="29"/>
        <v>40.91906525242257</v>
      </c>
      <c r="K250" s="17">
        <f t="shared" si="30"/>
        <v>177.93866568945751</v>
      </c>
      <c r="L250" s="17">
        <f t="shared" si="31"/>
        <v>314.95826612649245</v>
      </c>
    </row>
    <row r="251" spans="1:12" x14ac:dyDescent="0.25">
      <c r="A251">
        <v>244</v>
      </c>
      <c r="B251" t="str" cm="1">
        <f t="array" ref="B251">INDEX(Sheet1!$A:$A,267-$A251)</f>
        <v>L3S2P31</v>
      </c>
      <c r="C251" s="17" cm="1">
        <f t="array" ref="C251">INDEX(Sheet1!$K:$K,267-$A251)</f>
        <v>187.39633799257768</v>
      </c>
      <c r="D251" s="17" cm="1">
        <f t="array" ref="D251">INDEX(Sheet1!$Q:$Q,267-$A251)</f>
        <v>26.687682206392026</v>
      </c>
      <c r="E251" s="17">
        <f t="shared" si="24"/>
        <v>66.295877808106695</v>
      </c>
      <c r="F251" s="17">
        <f t="shared" si="25"/>
        <v>121.10046018447099</v>
      </c>
      <c r="G251" s="17">
        <f t="shared" si="26"/>
        <v>253.69221580068438</v>
      </c>
      <c r="H251" s="17">
        <f t="shared" si="27"/>
        <v>121.10046018447099</v>
      </c>
      <c r="I251">
        <f t="shared" si="28"/>
        <v>244</v>
      </c>
      <c r="J251" s="17">
        <f t="shared" si="29"/>
        <v>121.10046018447099</v>
      </c>
      <c r="K251" s="17">
        <f t="shared" si="30"/>
        <v>187.39633799257768</v>
      </c>
      <c r="L251" s="17">
        <f t="shared" si="31"/>
        <v>253.69221580068438</v>
      </c>
    </row>
    <row r="252" spans="1:12" x14ac:dyDescent="0.25">
      <c r="A252">
        <v>245</v>
      </c>
      <c r="B252" t="str" cm="1">
        <f t="array" ref="B252">INDEX(Sheet1!$A:$A,267-$A252)</f>
        <v>L3S2P15</v>
      </c>
      <c r="C252" s="17" cm="1">
        <f t="array" ref="C252">INDEX(Sheet1!$K:$K,267-$A252)</f>
        <v>216.60427070377443</v>
      </c>
      <c r="D252" s="17" cm="1">
        <f t="array" ref="D252">INDEX(Sheet1!$Q:$Q,267-$A252)</f>
        <v>30.366138718914577</v>
      </c>
      <c r="E252" s="17">
        <f t="shared" si="24"/>
        <v>75.433670351897547</v>
      </c>
      <c r="F252" s="17">
        <f t="shared" si="25"/>
        <v>141.17060035187689</v>
      </c>
      <c r="G252" s="17">
        <f t="shared" si="26"/>
        <v>292.03794105567198</v>
      </c>
      <c r="H252" s="17">
        <f t="shared" si="27"/>
        <v>141.17060035187689</v>
      </c>
      <c r="I252">
        <f t="shared" si="28"/>
        <v>245</v>
      </c>
      <c r="J252" s="17">
        <f t="shared" si="29"/>
        <v>141.17060035187689</v>
      </c>
      <c r="K252" s="17">
        <f t="shared" si="30"/>
        <v>216.60427070377443</v>
      </c>
      <c r="L252" s="17">
        <f t="shared" si="31"/>
        <v>292.03794105567198</v>
      </c>
    </row>
    <row r="253" spans="1:12" x14ac:dyDescent="0.25">
      <c r="A253">
        <v>246</v>
      </c>
      <c r="B253" t="str" cm="1">
        <f t="array" ref="B253">INDEX(Sheet1!$A:$A,267-$A253)</f>
        <v>L3S2P53</v>
      </c>
      <c r="C253" s="17" cm="1">
        <f t="array" ref="C253">INDEX(Sheet1!$K:$K,267-$A253)</f>
        <v>217.85304385894736</v>
      </c>
      <c r="D253" s="17" cm="1">
        <f t="array" ref="D253">INDEX(Sheet1!$Q:$Q,267-$A253)</f>
        <v>11.003725924276242</v>
      </c>
      <c r="E253" s="17">
        <f t="shared" si="24"/>
        <v>27.33477053825937</v>
      </c>
      <c r="F253" s="17">
        <f t="shared" si="25"/>
        <v>190.518273320688</v>
      </c>
      <c r="G253" s="17">
        <f t="shared" si="26"/>
        <v>245.18781439720672</v>
      </c>
      <c r="H253" s="17">
        <f t="shared" si="27"/>
        <v>190.518273320688</v>
      </c>
      <c r="I253">
        <f t="shared" si="28"/>
        <v>246</v>
      </c>
      <c r="J253" s="17">
        <f t="shared" si="29"/>
        <v>190.518273320688</v>
      </c>
      <c r="K253" s="17">
        <f t="shared" si="30"/>
        <v>217.85304385894736</v>
      </c>
      <c r="L253" s="17">
        <f t="shared" si="31"/>
        <v>245.18781439720672</v>
      </c>
    </row>
    <row r="254" spans="1:12" x14ac:dyDescent="0.25">
      <c r="A254">
        <v>247</v>
      </c>
      <c r="B254" t="str" cm="1">
        <f t="array" ref="B254">INDEX(Sheet1!$A:$A,267-$A254)</f>
        <v>L3S3P00</v>
      </c>
      <c r="C254" s="17" cm="1">
        <f t="array" ref="C254">INDEX(Sheet1!$K:$K,267-$A254)</f>
        <v>221.55373264097136</v>
      </c>
      <c r="D254" s="17" cm="1">
        <f t="array" ref="D254">INDEX(Sheet1!$Q:$Q,267-$A254)</f>
        <v>29.195364865827301</v>
      </c>
      <c r="E254" s="17">
        <f t="shared" si="24"/>
        <v>72.525306871512214</v>
      </c>
      <c r="F254" s="17">
        <f t="shared" si="25"/>
        <v>149.02842576945915</v>
      </c>
      <c r="G254" s="17">
        <f t="shared" si="26"/>
        <v>294.07903951248358</v>
      </c>
      <c r="H254" s="17">
        <f t="shared" si="27"/>
        <v>149.02842576945915</v>
      </c>
      <c r="I254">
        <f t="shared" si="28"/>
        <v>247</v>
      </c>
      <c r="J254" s="17">
        <f t="shared" si="29"/>
        <v>149.02842576945915</v>
      </c>
      <c r="K254" s="17">
        <f t="shared" si="30"/>
        <v>221.55373264097136</v>
      </c>
      <c r="L254" s="17">
        <f t="shared" si="31"/>
        <v>294.07903951248358</v>
      </c>
    </row>
    <row r="255" spans="1:12" x14ac:dyDescent="0.25">
      <c r="A255">
        <v>248</v>
      </c>
      <c r="B255" t="str" cm="1">
        <f t="array" ref="B255">INDEX(Sheet1!$A:$A,267-$A255)</f>
        <v>L3S1P53</v>
      </c>
      <c r="C255" s="17" cm="1">
        <f t="array" ref="C255">INDEX(Sheet1!$K:$K,267-$A255)</f>
        <v>226.49665950371752</v>
      </c>
      <c r="D255" s="17" cm="1">
        <f t="array" ref="D255">INDEX(Sheet1!$Q:$Q,267-$A255)</f>
        <v>17.653265505072159</v>
      </c>
      <c r="E255" s="17">
        <f t="shared" si="24"/>
        <v>43.853142576690985</v>
      </c>
      <c r="F255" s="17">
        <f t="shared" si="25"/>
        <v>182.64351692702655</v>
      </c>
      <c r="G255" s="17">
        <f t="shared" si="26"/>
        <v>270.34980208040849</v>
      </c>
      <c r="H255" s="17">
        <f t="shared" si="27"/>
        <v>182.64351692702655</v>
      </c>
      <c r="I255">
        <f t="shared" si="28"/>
        <v>248</v>
      </c>
      <c r="J255" s="17">
        <f t="shared" si="29"/>
        <v>182.64351692702655</v>
      </c>
      <c r="K255" s="17">
        <f t="shared" si="30"/>
        <v>226.49665950371752</v>
      </c>
      <c r="L255" s="17">
        <f t="shared" si="31"/>
        <v>270.34980208040849</v>
      </c>
    </row>
    <row r="256" spans="1:12" x14ac:dyDescent="0.25">
      <c r="A256">
        <v>249</v>
      </c>
      <c r="B256" t="str" cm="1">
        <f t="array" ref="B256">INDEX(Sheet1!$A:$A,267-$A256)</f>
        <v>L3S3P22</v>
      </c>
      <c r="C256" s="17" cm="1">
        <f t="array" ref="C256">INDEX(Sheet1!$K:$K,267-$A256)</f>
        <v>231.62723668309701</v>
      </c>
      <c r="D256" s="17" cm="1">
        <f t="array" ref="D256">INDEX(Sheet1!$Q:$Q,267-$A256)</f>
        <v>28.061584883900831</v>
      </c>
      <c r="E256" s="17">
        <f t="shared" si="24"/>
        <v>69.708841261581071</v>
      </c>
      <c r="F256" s="17">
        <f t="shared" si="25"/>
        <v>161.91839542151592</v>
      </c>
      <c r="G256" s="17">
        <f t="shared" si="26"/>
        <v>301.3360779446781</v>
      </c>
      <c r="H256" s="17">
        <f t="shared" si="27"/>
        <v>161.91839542151592</v>
      </c>
      <c r="I256">
        <f t="shared" si="28"/>
        <v>249</v>
      </c>
      <c r="J256" s="17">
        <f t="shared" si="29"/>
        <v>161.91839542151592</v>
      </c>
      <c r="K256" s="17">
        <f t="shared" si="30"/>
        <v>231.62723668309701</v>
      </c>
      <c r="L256" s="17">
        <f t="shared" si="31"/>
        <v>301.3360779446781</v>
      </c>
    </row>
    <row r="257" spans="1:12" x14ac:dyDescent="0.25">
      <c r="A257">
        <v>250</v>
      </c>
      <c r="B257" t="str" cm="1">
        <f t="array" ref="B257">INDEX(Sheet1!$A:$A,267-$A257)</f>
        <v>L3S2P13</v>
      </c>
      <c r="C257" s="17" cm="1">
        <f t="array" ref="C257">INDEX(Sheet1!$K:$K,267-$A257)</f>
        <v>236.25590639765994</v>
      </c>
      <c r="D257" s="17" cm="1">
        <f t="array" ref="D257">INDEX(Sheet1!$Q:$Q,267-$A257)</f>
        <v>47.73090100261706</v>
      </c>
      <c r="E257" s="17">
        <f t="shared" si="24"/>
        <v>118.57013119642268</v>
      </c>
      <c r="F257" s="17">
        <f t="shared" si="25"/>
        <v>117.68577520123726</v>
      </c>
      <c r="G257" s="17">
        <f t="shared" si="26"/>
        <v>354.82603759408261</v>
      </c>
      <c r="H257" s="17">
        <f t="shared" si="27"/>
        <v>117.68577520123726</v>
      </c>
      <c r="I257">
        <f t="shared" si="28"/>
        <v>250</v>
      </c>
      <c r="J257" s="17">
        <f t="shared" si="29"/>
        <v>117.68577520123726</v>
      </c>
      <c r="K257" s="17">
        <f t="shared" si="30"/>
        <v>236.25590639765994</v>
      </c>
      <c r="L257" s="17">
        <f t="shared" si="31"/>
        <v>354.82603759408261</v>
      </c>
    </row>
    <row r="258" spans="1:12" x14ac:dyDescent="0.25">
      <c r="A258">
        <v>251</v>
      </c>
      <c r="B258" t="str" cm="1">
        <f t="array" ref="B258">INDEX(Sheet1!$A:$A,267-$A258)</f>
        <v>L3S1P51</v>
      </c>
      <c r="C258" s="17" cm="1">
        <f t="array" ref="C258">INDEX(Sheet1!$K:$K,267-$A258)</f>
        <v>236.72274366820236</v>
      </c>
      <c r="D258" s="17" cm="1">
        <f t="array" ref="D258">INDEX(Sheet1!$Q:$Q,267-$A258)</f>
        <v>96.162524134122734</v>
      </c>
      <c r="E258" s="17">
        <f t="shared" si="24"/>
        <v>238.88095265867554</v>
      </c>
      <c r="F258" s="17">
        <f t="shared" si="25"/>
        <v>-2.1582089904731845</v>
      </c>
      <c r="G258" s="17">
        <f t="shared" si="26"/>
        <v>475.60369632687787</v>
      </c>
      <c r="H258" s="17">
        <f t="shared" si="27"/>
        <v>23.672274366820236</v>
      </c>
      <c r="I258">
        <f t="shared" si="28"/>
        <v>251</v>
      </c>
      <c r="J258" s="17">
        <f t="shared" si="29"/>
        <v>23.672274366820236</v>
      </c>
      <c r="K258" s="17">
        <f t="shared" si="30"/>
        <v>236.72274366820236</v>
      </c>
      <c r="L258" s="17">
        <f t="shared" si="31"/>
        <v>475.60369632687787</v>
      </c>
    </row>
    <row r="259" spans="1:12" x14ac:dyDescent="0.25">
      <c r="A259">
        <v>252</v>
      </c>
      <c r="B259" t="str" cm="1">
        <f t="array" ref="B259">INDEX(Sheet1!$A:$A,267-$A259)</f>
        <v>L3S2P52</v>
      </c>
      <c r="C259" s="17" cm="1">
        <f t="array" ref="C259">INDEX(Sheet1!$K:$K,267-$A259)</f>
        <v>244.78885142298881</v>
      </c>
      <c r="D259" s="17" cm="1">
        <f t="array" ref="D259">INDEX(Sheet1!$Q:$Q,267-$A259)</f>
        <v>130.70660431198897</v>
      </c>
      <c r="E259" s="17">
        <f t="shared" si="24"/>
        <v>324.69320494624014</v>
      </c>
      <c r="F259" s="17">
        <f t="shared" si="25"/>
        <v>-79.904353523251331</v>
      </c>
      <c r="G259" s="17">
        <f t="shared" si="26"/>
        <v>569.48205636922899</v>
      </c>
      <c r="H259" s="17">
        <f t="shared" si="27"/>
        <v>24.478885142298882</v>
      </c>
      <c r="I259">
        <f t="shared" si="28"/>
        <v>252</v>
      </c>
      <c r="J259" s="17">
        <f t="shared" si="29"/>
        <v>24.478885142298882</v>
      </c>
      <c r="K259" s="17">
        <f t="shared" si="30"/>
        <v>244.78885142298881</v>
      </c>
      <c r="L259" s="17">
        <f t="shared" si="31"/>
        <v>569.48205636922899</v>
      </c>
    </row>
    <row r="260" spans="1:12" x14ac:dyDescent="0.25">
      <c r="A260">
        <v>253</v>
      </c>
      <c r="B260" t="str" cm="1">
        <f t="array" ref="B260">INDEX(Sheet1!$A:$A,267-$A260)</f>
        <v>L3S3P56</v>
      </c>
      <c r="C260" s="17" cm="1">
        <f t="array" ref="C260">INDEX(Sheet1!$K:$K,267-$A260)</f>
        <v>244.85484748583684</v>
      </c>
      <c r="D260" s="17" cm="1">
        <f t="array" ref="D260">INDEX(Sheet1!$Q:$Q,267-$A260)</f>
        <v>46.938181118006902</v>
      </c>
      <c r="E260" s="17">
        <f t="shared" si="24"/>
        <v>116.60090583620821</v>
      </c>
      <c r="F260" s="17">
        <f t="shared" si="25"/>
        <v>128.25394164962864</v>
      </c>
      <c r="G260" s="17">
        <f t="shared" si="26"/>
        <v>361.45575332204504</v>
      </c>
      <c r="H260" s="17">
        <f t="shared" si="27"/>
        <v>128.25394164962864</v>
      </c>
      <c r="I260">
        <f t="shared" si="28"/>
        <v>253</v>
      </c>
      <c r="J260" s="17">
        <f t="shared" si="29"/>
        <v>128.25394164962864</v>
      </c>
      <c r="K260" s="17">
        <f t="shared" si="30"/>
        <v>244.85484748583684</v>
      </c>
      <c r="L260" s="17">
        <f t="shared" si="31"/>
        <v>361.45575332204504</v>
      </c>
    </row>
    <row r="261" spans="1:12" x14ac:dyDescent="0.25">
      <c r="A261">
        <v>254</v>
      </c>
      <c r="B261" t="str" cm="1">
        <f t="array" ref="B261">INDEX(Sheet1!$A:$A,267-$A261)</f>
        <v>L3S3P21</v>
      </c>
      <c r="C261" s="17" cm="1">
        <f t="array" ref="C261">INDEX(Sheet1!$K:$K,267-$A261)</f>
        <v>246.59273130501884</v>
      </c>
      <c r="D261" s="17" cm="1">
        <f t="array" ref="D261">INDEX(Sheet1!$Q:$Q,267-$A261)</f>
        <v>21.006133075294567</v>
      </c>
      <c r="E261" s="17">
        <f t="shared" si="24"/>
        <v>52.182127350385173</v>
      </c>
      <c r="F261" s="17">
        <f t="shared" si="25"/>
        <v>194.41060395463367</v>
      </c>
      <c r="G261" s="17">
        <f t="shared" si="26"/>
        <v>298.77485865540405</v>
      </c>
      <c r="H261" s="17">
        <f t="shared" si="27"/>
        <v>194.41060395463367</v>
      </c>
      <c r="I261">
        <f t="shared" si="28"/>
        <v>254</v>
      </c>
      <c r="J261" s="17">
        <f t="shared" si="29"/>
        <v>194.41060395463367</v>
      </c>
      <c r="K261" s="17">
        <f t="shared" si="30"/>
        <v>246.59273130501884</v>
      </c>
      <c r="L261" s="17">
        <f t="shared" si="31"/>
        <v>298.77485865540405</v>
      </c>
    </row>
    <row r="262" spans="1:12" x14ac:dyDescent="0.25">
      <c r="A262">
        <v>255</v>
      </c>
      <c r="B262" t="str" cm="1">
        <f t="array" ref="B262">INDEX(Sheet1!$A:$A,267-$A262)</f>
        <v>L3S2P55</v>
      </c>
      <c r="C262" s="17" cm="1">
        <f t="array" ref="C262">INDEX(Sheet1!$K:$K,267-$A262)</f>
        <v>255.66170135924986</v>
      </c>
      <c r="D262" s="17" cm="1">
        <f t="array" ref="D262">INDEX(Sheet1!$Q:$Q,267-$A262)</f>
        <v>52.322863401294782</v>
      </c>
      <c r="E262" s="17">
        <f t="shared" si="24"/>
        <v>129.9771981619175</v>
      </c>
      <c r="F262" s="17">
        <f t="shared" si="25"/>
        <v>125.68450319733236</v>
      </c>
      <c r="G262" s="17">
        <f t="shared" si="26"/>
        <v>385.63889952116733</v>
      </c>
      <c r="H262" s="17">
        <f t="shared" si="27"/>
        <v>125.68450319733236</v>
      </c>
      <c r="I262">
        <f t="shared" si="28"/>
        <v>255</v>
      </c>
      <c r="J262" s="17">
        <f t="shared" si="29"/>
        <v>125.68450319733236</v>
      </c>
      <c r="K262" s="17">
        <f t="shared" si="30"/>
        <v>255.66170135924986</v>
      </c>
      <c r="L262" s="17">
        <f t="shared" si="31"/>
        <v>385.63889952116733</v>
      </c>
    </row>
    <row r="263" spans="1:12" x14ac:dyDescent="0.25">
      <c r="A263">
        <v>256</v>
      </c>
      <c r="B263" t="str" cm="1">
        <f t="array" ref="B263">INDEX(Sheet1!$A:$A,267-$A263)</f>
        <v>L3S2P11</v>
      </c>
      <c r="C263" s="17" cm="1">
        <f t="array" ref="C263">INDEX(Sheet1!$K:$K,267-$A263)</f>
        <v>261.54840615016633</v>
      </c>
      <c r="D263" s="17" cm="1">
        <f t="array" ref="D263">INDEX(Sheet1!$Q:$Q,267-$A263)</f>
        <v>37.969886075427006</v>
      </c>
      <c r="E263" s="17">
        <f t="shared" si="24"/>
        <v>94.322425910831967</v>
      </c>
      <c r="F263" s="17">
        <f t="shared" si="25"/>
        <v>167.22598023933438</v>
      </c>
      <c r="G263" s="17">
        <f t="shared" si="26"/>
        <v>355.87083206099828</v>
      </c>
      <c r="H263" s="17">
        <f t="shared" si="27"/>
        <v>167.22598023933438</v>
      </c>
      <c r="I263">
        <f t="shared" si="28"/>
        <v>256</v>
      </c>
      <c r="J263" s="17">
        <f t="shared" si="29"/>
        <v>167.22598023933438</v>
      </c>
      <c r="K263" s="17">
        <f t="shared" si="30"/>
        <v>261.54840615016633</v>
      </c>
      <c r="L263" s="17">
        <f t="shared" si="31"/>
        <v>355.87083206099828</v>
      </c>
    </row>
    <row r="264" spans="1:12" x14ac:dyDescent="0.25">
      <c r="A264">
        <v>257</v>
      </c>
      <c r="B264" t="str" cm="1">
        <f t="array" ref="B264">INDEX(Sheet1!$A:$A,267-$A264)</f>
        <v>L3S2P22</v>
      </c>
      <c r="C264" s="17" cm="1">
        <f t="array" ref="C264">INDEX(Sheet1!$K:$K,267-$A264)</f>
        <v>270.94721255178717</v>
      </c>
      <c r="D264" s="17" cm="1">
        <f t="array" ref="D264">INDEX(Sheet1!$Q:$Q,267-$A264)</f>
        <v>142.53965702815486</v>
      </c>
      <c r="E264" s="17">
        <f t="shared" si="24"/>
        <v>354.08813744359747</v>
      </c>
      <c r="F264" s="17">
        <f t="shared" si="25"/>
        <v>-83.1409248918103</v>
      </c>
      <c r="G264" s="17">
        <f t="shared" si="26"/>
        <v>625.03534999538465</v>
      </c>
      <c r="H264" s="17">
        <f t="shared" si="27"/>
        <v>27.094721255178719</v>
      </c>
      <c r="I264">
        <f t="shared" si="28"/>
        <v>257</v>
      </c>
      <c r="J264" s="17">
        <f t="shared" si="29"/>
        <v>27.094721255178719</v>
      </c>
      <c r="K264" s="17">
        <f t="shared" si="30"/>
        <v>270.94721255178717</v>
      </c>
      <c r="L264" s="17">
        <f t="shared" si="31"/>
        <v>625.03534999538465</v>
      </c>
    </row>
    <row r="265" spans="1:12" x14ac:dyDescent="0.25">
      <c r="A265">
        <v>258</v>
      </c>
      <c r="B265" t="str" cm="1">
        <f t="array" ref="B265">INDEX(Sheet1!$A:$A,267-$A265)</f>
        <v>L3S2P41</v>
      </c>
      <c r="C265" s="17" cm="1">
        <f t="array" ref="C265">INDEX(Sheet1!$K:$K,267-$A265)</f>
        <v>275.93286083741634</v>
      </c>
      <c r="D265" s="17" cm="1">
        <f t="array" ref="D265">INDEX(Sheet1!$Q:$Q,267-$A265)</f>
        <v>44.381410474777219</v>
      </c>
      <c r="E265" s="17">
        <f t="shared" ref="E265:E272" si="32">$B$5*D265/SQRT($B$3)</f>
        <v>110.24953546106521</v>
      </c>
      <c r="F265" s="17">
        <f t="shared" ref="F265:F272" si="33">C265-E265</f>
        <v>165.68332537635115</v>
      </c>
      <c r="G265" s="17">
        <f t="shared" ref="G265:G272" si="34">C265+E265</f>
        <v>386.18239629848154</v>
      </c>
      <c r="H265" s="17">
        <f t="shared" ref="H265:H272" si="35">MAX(F265,C265/10)</f>
        <v>165.68332537635115</v>
      </c>
      <c r="I265">
        <f t="shared" ref="I265:I272" si="36">A265</f>
        <v>258</v>
      </c>
      <c r="J265" s="17">
        <f t="shared" ref="J265:J272" si="37">H265</f>
        <v>165.68332537635115</v>
      </c>
      <c r="K265" s="17">
        <f t="shared" ref="K265:K272" si="38">C265</f>
        <v>275.93286083741634</v>
      </c>
      <c r="L265" s="17">
        <f t="shared" ref="L265:L272" si="39">G265</f>
        <v>386.18239629848154</v>
      </c>
    </row>
    <row r="266" spans="1:12" x14ac:dyDescent="0.25">
      <c r="A266">
        <v>259</v>
      </c>
      <c r="B266" t="str" cm="1">
        <f t="array" ref="B266">INDEX(Sheet1!$A:$A,267-$A266)</f>
        <v>L3S1P52</v>
      </c>
      <c r="C266" s="17" cm="1">
        <f t="array" ref="C266">INDEX(Sheet1!$K:$K,267-$A266)</f>
        <v>278.54088288679139</v>
      </c>
      <c r="D266" s="17" cm="1">
        <f t="array" ref="D266">INDEX(Sheet1!$Q:$Q,267-$A266)</f>
        <v>28.187040541101585</v>
      </c>
      <c r="E266" s="17">
        <f t="shared" si="32"/>
        <v>70.020490390785881</v>
      </c>
      <c r="F266" s="17">
        <f t="shared" si="33"/>
        <v>208.52039249600551</v>
      </c>
      <c r="G266" s="17">
        <f t="shared" si="34"/>
        <v>348.56137327757727</v>
      </c>
      <c r="H266" s="17">
        <f t="shared" si="35"/>
        <v>208.52039249600551</v>
      </c>
      <c r="I266">
        <f t="shared" si="36"/>
        <v>259</v>
      </c>
      <c r="J266" s="17">
        <f t="shared" si="37"/>
        <v>208.52039249600551</v>
      </c>
      <c r="K266" s="17">
        <f t="shared" si="38"/>
        <v>278.54088288679139</v>
      </c>
      <c r="L266" s="17">
        <f t="shared" si="39"/>
        <v>348.56137327757727</v>
      </c>
    </row>
    <row r="267" spans="1:12" x14ac:dyDescent="0.25">
      <c r="A267">
        <v>260</v>
      </c>
      <c r="B267" t="str" cm="1">
        <f t="array" ref="B267">INDEX(Sheet1!$A:$A,267-$A267)</f>
        <v>L3S3P51</v>
      </c>
      <c r="C267" s="17" cm="1">
        <f t="array" ref="C267">INDEX(Sheet1!$K:$K,267-$A267)</f>
        <v>281.4070351758794</v>
      </c>
      <c r="D267" s="17" cm="1">
        <f t="array" ref="D267">INDEX(Sheet1!$Q:$Q,267-$A267)</f>
        <v>48.131604862885887</v>
      </c>
      <c r="E267" s="17">
        <f t="shared" si="32"/>
        <v>119.5655347669604</v>
      </c>
      <c r="F267" s="17">
        <f t="shared" si="33"/>
        <v>161.84150040891899</v>
      </c>
      <c r="G267" s="17">
        <f t="shared" si="34"/>
        <v>400.97256994283981</v>
      </c>
      <c r="H267" s="17">
        <f t="shared" si="35"/>
        <v>161.84150040891899</v>
      </c>
      <c r="I267">
        <f t="shared" si="36"/>
        <v>260</v>
      </c>
      <c r="J267" s="17">
        <f t="shared" si="37"/>
        <v>161.84150040891899</v>
      </c>
      <c r="K267" s="17">
        <f t="shared" si="38"/>
        <v>281.4070351758794</v>
      </c>
      <c r="L267" s="17">
        <f t="shared" si="39"/>
        <v>400.97256994283981</v>
      </c>
    </row>
    <row r="268" spans="1:12" x14ac:dyDescent="0.25">
      <c r="A268">
        <v>261</v>
      </c>
      <c r="B268" t="str" cm="1">
        <f t="array" ref="B268">INDEX(Sheet1!$A:$A,267-$A268)</f>
        <v>L3S3P41</v>
      </c>
      <c r="C268" s="17" cm="1">
        <f t="array" ref="C268">INDEX(Sheet1!$K:$K,267-$A268)</f>
        <v>281.90176353810142</v>
      </c>
      <c r="D268" s="17" cm="1">
        <f t="array" ref="D268">INDEX(Sheet1!$Q:$Q,267-$A268)</f>
        <v>16.830208416862835</v>
      </c>
      <c r="E268" s="17">
        <f t="shared" si="32"/>
        <v>41.808555424946782</v>
      </c>
      <c r="F268" s="17">
        <f t="shared" si="33"/>
        <v>240.09320811315465</v>
      </c>
      <c r="G268" s="17">
        <f t="shared" si="34"/>
        <v>323.71031896304822</v>
      </c>
      <c r="H268" s="17">
        <f t="shared" si="35"/>
        <v>240.09320811315465</v>
      </c>
      <c r="I268">
        <f t="shared" si="36"/>
        <v>261</v>
      </c>
      <c r="J268" s="17">
        <f t="shared" si="37"/>
        <v>240.09320811315465</v>
      </c>
      <c r="K268" s="17">
        <f t="shared" si="38"/>
        <v>281.90176353810142</v>
      </c>
      <c r="L268" s="17">
        <f t="shared" si="39"/>
        <v>323.71031896304822</v>
      </c>
    </row>
    <row r="269" spans="1:12" x14ac:dyDescent="0.25">
      <c r="A269">
        <v>262</v>
      </c>
      <c r="B269" t="str" cm="1">
        <f t="array" ref="B269">INDEX(Sheet1!$A:$A,267-$A269)</f>
        <v>L3S1P56</v>
      </c>
      <c r="C269" s="17" cm="1">
        <f t="array" ref="C269">INDEX(Sheet1!$K:$K,267-$A269)</f>
        <v>305.99734218727701</v>
      </c>
      <c r="D269" s="17" cm="1">
        <f t="array" ref="D269">INDEX(Sheet1!$Q:$Q,267-$A269)</f>
        <v>8.5235176041685445</v>
      </c>
      <c r="E269" s="17">
        <f t="shared" si="32"/>
        <v>21.173591517282905</v>
      </c>
      <c r="F269" s="17">
        <f t="shared" si="33"/>
        <v>284.82375066999413</v>
      </c>
      <c r="G269" s="17">
        <f t="shared" si="34"/>
        <v>327.1709337045599</v>
      </c>
      <c r="H269" s="17">
        <f t="shared" si="35"/>
        <v>284.82375066999413</v>
      </c>
      <c r="I269">
        <f t="shared" si="36"/>
        <v>262</v>
      </c>
      <c r="J269" s="17">
        <f t="shared" si="37"/>
        <v>284.82375066999413</v>
      </c>
      <c r="K269" s="17">
        <f t="shared" si="38"/>
        <v>305.99734218727701</v>
      </c>
      <c r="L269" s="17">
        <f t="shared" si="39"/>
        <v>327.1709337045599</v>
      </c>
    </row>
    <row r="270" spans="1:12" x14ac:dyDescent="0.25">
      <c r="A270">
        <v>263</v>
      </c>
      <c r="B270" t="str" cm="1">
        <f t="array" ref="B270">INDEX(Sheet1!$A:$A,267-$A270)</f>
        <v>L3S2P51</v>
      </c>
      <c r="C270" s="17" cm="1">
        <f t="array" ref="C270">INDEX(Sheet1!$K:$K,267-$A270)</f>
        <v>309.51829597997005</v>
      </c>
      <c r="D270" s="17" cm="1">
        <f t="array" ref="D270">INDEX(Sheet1!$Q:$Q,267-$A270)</f>
        <v>11.591588357100113</v>
      </c>
      <c r="E270" s="17">
        <f t="shared" si="32"/>
        <v>28.795101776958443</v>
      </c>
      <c r="F270" s="17">
        <f t="shared" si="33"/>
        <v>280.72319420301159</v>
      </c>
      <c r="G270" s="17">
        <f t="shared" si="34"/>
        <v>338.31339775692851</v>
      </c>
      <c r="H270" s="17">
        <f t="shared" si="35"/>
        <v>280.72319420301159</v>
      </c>
      <c r="I270">
        <f t="shared" si="36"/>
        <v>263</v>
      </c>
      <c r="J270" s="17">
        <f t="shared" si="37"/>
        <v>280.72319420301159</v>
      </c>
      <c r="K270" s="17">
        <f t="shared" si="38"/>
        <v>309.51829597997005</v>
      </c>
      <c r="L270" s="17">
        <f t="shared" si="39"/>
        <v>338.31339775692851</v>
      </c>
    </row>
    <row r="271" spans="1:12" x14ac:dyDescent="0.25">
      <c r="A271">
        <v>264</v>
      </c>
      <c r="B271" t="str" cm="1">
        <f t="array" ref="B271">INDEX(Sheet1!$A:$A,267-$A271)</f>
        <v>L3S2P56</v>
      </c>
      <c r="C271" s="17" cm="1">
        <f t="array" ref="C271">INDEX(Sheet1!$K:$K,267-$A271)</f>
        <v>353.53759950193444</v>
      </c>
      <c r="D271" s="17" cm="1">
        <f t="array" ref="D271">INDEX(Sheet1!$Q:$Q,267-$A271)</f>
        <v>3.0413153114331219</v>
      </c>
      <c r="E271" s="17">
        <f t="shared" si="32"/>
        <v>7.5550460584547174</v>
      </c>
      <c r="F271" s="17">
        <f t="shared" si="33"/>
        <v>345.98255344347973</v>
      </c>
      <c r="G271" s="17">
        <f t="shared" si="34"/>
        <v>361.09264556038914</v>
      </c>
      <c r="H271" s="17">
        <f t="shared" si="35"/>
        <v>345.98255344347973</v>
      </c>
      <c r="I271">
        <f t="shared" si="36"/>
        <v>264</v>
      </c>
      <c r="J271" s="17">
        <f t="shared" si="37"/>
        <v>345.98255344347973</v>
      </c>
      <c r="K271" s="17">
        <f t="shared" si="38"/>
        <v>353.53759950193444</v>
      </c>
      <c r="L271" s="17">
        <f t="shared" si="39"/>
        <v>361.09264556038914</v>
      </c>
    </row>
    <row r="272" spans="1:12" x14ac:dyDescent="0.25">
      <c r="A272">
        <v>265</v>
      </c>
      <c r="B272" t="str" cm="1">
        <f t="array" ref="B272">INDEX(Sheet1!$A:$A,267-$A272)</f>
        <v>L3S2P21</v>
      </c>
      <c r="C272" s="17" cm="1">
        <f t="array" ref="C272">INDEX(Sheet1!$K:$K,267-$A272)</f>
        <v>382.12987706028127</v>
      </c>
      <c r="D272" s="17" cm="1">
        <f t="array" ref="D272">INDEX(Sheet1!$Q:$Q,267-$A272)</f>
        <v>18.423991254532112</v>
      </c>
      <c r="E272" s="17">
        <f t="shared" si="32"/>
        <v>45.767731476341496</v>
      </c>
      <c r="F272" s="17">
        <f t="shared" si="33"/>
        <v>336.36214558393976</v>
      </c>
      <c r="G272" s="17">
        <f t="shared" si="34"/>
        <v>427.89760853662278</v>
      </c>
      <c r="H272" s="17">
        <f t="shared" si="35"/>
        <v>336.36214558393976</v>
      </c>
      <c r="I272">
        <f t="shared" si="36"/>
        <v>265</v>
      </c>
      <c r="J272" s="17">
        <f t="shared" si="37"/>
        <v>336.36214558393976</v>
      </c>
      <c r="K272" s="17">
        <f t="shared" si="38"/>
        <v>382.12987706028127</v>
      </c>
      <c r="L272" s="17">
        <f t="shared" si="39"/>
        <v>427.89760853662278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Strength CI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Ying-Ja </dc:creator>
  <cp:lastModifiedBy>音 泠</cp:lastModifiedBy>
  <dcterms:created xsi:type="dcterms:W3CDTF">2013-01-23T04:42:03Z</dcterms:created>
  <dcterms:modified xsi:type="dcterms:W3CDTF">2026-09-17T22:09:16Z</dcterms:modified>
</cp:coreProperties>
</file>